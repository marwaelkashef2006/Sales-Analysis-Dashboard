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USER\Downloads\data analysis\"/>
    </mc:Choice>
  </mc:AlternateContent>
  <xr:revisionPtr revIDLastSave="0" documentId="13_ncr:1_{56EFFEED-967F-45A2-9ACE-4E0B1BA8E16B}" xr6:coauthVersionLast="47" xr6:coauthVersionMax="47" xr10:uidLastSave="{00000000-0000-0000-0000-000000000000}"/>
  <bookViews>
    <workbookView xWindow="-108" yWindow="-108" windowWidth="23256" windowHeight="12456" xr2:uid="{4375AA05-F2E0-4E50-ABBF-DC0F5D7059DA}"/>
  </bookViews>
  <sheets>
    <sheet name="pivot table" sheetId="1" r:id="rId1"/>
    <sheet name="Dashboard" sheetId="2" r:id="rId2"/>
  </sheets>
  <definedNames>
    <definedName name="Slicer_Category">#N/A</definedName>
    <definedName name="Slicer_Country">#N/A</definedName>
    <definedName name="Slicer_Date__Month">#N/A</definedName>
    <definedName name="Slicer_Product">#N/A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 cacheId="12" r:id="rId15"/>
    <pivotCache cacheId="13" r:id="rId16"/>
    <pivotCache cacheId="14" r:id="rId17"/>
    <pivotCache cacheId="15" r:id="rId18"/>
    <pivotCache cacheId="16" r:id="rId19"/>
  </pivotCaches>
  <extLst>
    <ext xmlns:x14="http://schemas.microsoft.com/office/spreadsheetml/2009/9/main" uri="{876F7934-8845-4945-9796-88D515C7AA90}">
      <x14:pivotCaches>
        <pivotCache cacheId="17" r:id="rId20"/>
      </x14:pivotCaches>
    </ext>
    <ext xmlns:x14="http://schemas.microsoft.com/office/spreadsheetml/2009/9/main" uri="{BBE1A952-AA13-448e-AADC-164F8A28A991}">
      <x14:slicerCaches>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aecac684-5d77-4e13-ab44-d0212c229b54" name="Table1" connection="Excel power query"/>
          <x15:modelTable id="Table2_4176ed30-016a-4b0f-af07-225f4a4ad16c" name="Table2" connection="Excel power query"/>
          <x15:modelTable id="Table3_51848ecc-679e-4e6d-838f-29d4b4f8fe51" name="Table3" connection="Excel power query"/>
        </x15:modelTables>
        <x15:modelRelationships>
          <x15:modelRelationship fromTable="Table1" fromColumn="Customer" toTable="Table3" toColumn="Customer_Name"/>
          <x15:modelRelationship fromTable="Table1" fromColumn="Supplier_ID" toTable="Table2" toColumn="Supplier_ID"/>
        </x15:modelRelationships>
        <x15:extLst>
          <ext xmlns:x16="http://schemas.microsoft.com/office/spreadsheetml/2014/11/main" uri="{9835A34E-60A6-4A7C-AAB8-D5F71C897F49}">
            <x16:modelTimeGroupings>
              <x16:modelTimeGrouping tableName="Table1"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22F885-42C2-410B-9D10-3131978E46A7}" name="Excel power query" type="100" refreshedVersion="7">
    <extLst>
      <ext xmlns:x15="http://schemas.microsoft.com/office/spreadsheetml/2010/11/main" uri="{DE250136-89BD-433C-8126-D09CA5730AF9}">
        <x15:connection id="76408526-0179-4ad6-ac9e-b32a571f3ac0"/>
      </ext>
    </extLst>
  </connection>
  <connection id="2" xr16:uid="{AC495605-2B0C-4275-994E-BDA9786E86A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<sst xmlns="http://schemas.openxmlformats.org/spreadsheetml/2006/main" count="121" uniqueCount="42">
  <si>
    <t>Sum of Total_Price</t>
  </si>
  <si>
    <t>Row Labels</t>
  </si>
  <si>
    <t>Algeria</t>
  </si>
  <si>
    <t>Egypt</t>
  </si>
  <si>
    <t>Jordan</t>
  </si>
  <si>
    <t>KSA</t>
  </si>
  <si>
    <t>Moroco</t>
  </si>
  <si>
    <t>Qatar</t>
  </si>
  <si>
    <t>Tunisia</t>
  </si>
  <si>
    <t>UAE</t>
  </si>
  <si>
    <t>Grand Total</t>
  </si>
  <si>
    <t>Mouse</t>
  </si>
  <si>
    <t>Mobile</t>
  </si>
  <si>
    <t>Charger</t>
  </si>
  <si>
    <t>Smartphone</t>
  </si>
  <si>
    <t>Monitor</t>
  </si>
  <si>
    <t>Laptop</t>
  </si>
  <si>
    <t>Printer</t>
  </si>
  <si>
    <t>Camera</t>
  </si>
  <si>
    <t>Headphones</t>
  </si>
  <si>
    <t>Keyboard</t>
  </si>
  <si>
    <t>Tablet</t>
  </si>
  <si>
    <t>Electronics</t>
  </si>
  <si>
    <t>Sum of Profit</t>
  </si>
  <si>
    <t>Count of Sale_ID</t>
  </si>
  <si>
    <t>Average of Total_Price</t>
  </si>
  <si>
    <t>Sum of Quantity</t>
  </si>
  <si>
    <t>Accessories</t>
  </si>
  <si>
    <t>Office</t>
  </si>
  <si>
    <t>Jan</t>
  </si>
  <si>
    <t>Feb</t>
  </si>
  <si>
    <t>Mar</t>
  </si>
  <si>
    <t>Apr</t>
  </si>
  <si>
    <t>May</t>
  </si>
  <si>
    <t>Jun</t>
  </si>
  <si>
    <t>Jul</t>
  </si>
  <si>
    <t>Aug</t>
  </si>
  <si>
    <t>Sep</t>
  </si>
  <si>
    <t>Oct</t>
  </si>
  <si>
    <t>Nov</t>
  </si>
  <si>
    <t>Dec</t>
  </si>
  <si>
    <t>Sales Analysis Dashboard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</si>
</sst>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quot;M&quot;"/>
    <numFmt numFmtId="166" formatCode="0.0,&quot;K&quot;"/>
  </numFmts>
  <fonts count="8" x14ac:knownFonts="1">
    <font>
      <sz val="11"/>
      <color theme="1"/>
      <name val="Calibri"/>
      <family val="2"/>
      <scheme val="minor"/>
    </font>
    <font>
      <sz val="11"/>
      <color theme="1"/>
      <name val="Calibri"/>
      <family val="2"/>
      <scheme val="minor"/>
    </font>
    <font>
      <sz val="16"/>
      <color theme="1"/>
      <name val="Calibri"/>
      <family val="2"/>
      <scheme val="minor"/>
    </font>
    <font>
      <b/>
      <sz val="16"/>
      <color theme="1"/>
      <name val="Calibri"/>
      <family val="2"/>
      <scheme val="minor"/>
    </font>
    <font>
      <sz val="11"/>
      <color theme="0"/>
      <name val="Calibri"/>
      <family val="2"/>
      <scheme val="minor"/>
    </font>
    <font>
      <b/>
      <sz val="52"/>
      <color theme="0"/>
      <name val="Calibri"/>
      <family val="2"/>
      <scheme val="minor"/>
    </font>
    <font>
      <b/>
      <sz val="36"/>
      <color theme="1"/>
      <name val="Calibri"/>
      <family val="2"/>
      <scheme val="minor"/>
    </font>
    <font>
      <b/>
      <sz val="60"/>
      <color theme="0"/>
      <name val="Calibri"/>
      <family val="2"/>
      <scheme val="minor"/>
    </font>
  </fonts>
  <fills count="4">
    <fill>
      <patternFill patternType="none"/>
    </fill>
    <fill>
      <patternFill patternType="gray125"/>
    </fill>
    <fill>
      <patternFill patternType="solid">
        <fgColor theme="4" tint="-0.499984740745262"/>
        <bgColor indexed="64"/>
      </patternFill>
    </fill>
    <fill>
      <patternFill patternType="solid">
        <fgColor theme="0" tint="-4.9989318521683403E-2"/>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3" fontId="1" fillId="0" borderId="0" applyFont="0" applyFill="0" applyBorder="0" applyAlignment="0" applyProtection="0"/>
  </cellStyleXfs>
  <cellXfs count="38">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NumberFormat="1"/>
    <xf numFmtId="0" fontId="0" fillId="0" borderId="0" xfId="0" pivotButton="1"/>
    <xf numFmtId="0" fontId="0" fillId="0" borderId="0" xfId="0" applyAlignment="1">
      <alignment horizontal="left"/>
    </xf>
    <xf numFmtId="43" fontId="0" fillId="0" borderId="0" xfId="1" applyFont="1"/>
    <xf numFmtId="43" fontId="0" fillId="0" borderId="0" xfId="0" applyNumberFormat="1"/>
    <xf numFmtId="0" fontId="3" fillId="0" borderId="0" xfId="0" applyFont="1"/>
    <xf numFmtId="0" fontId="3" fillId="0" borderId="0" xfId="0" applyFont="1" applyAlignment="1">
      <alignment horizontal="center" vertical="center"/>
    </xf>
    <xf numFmtId="0" fontId="0" fillId="0" borderId="0" xfId="0" applyAlignment="1">
      <alignment vertical="center"/>
    </xf>
    <xf numFmtId="43" fontId="0" fillId="0" borderId="0" xfId="1" applyFont="1" applyAlignment="1">
      <alignment vertical="center"/>
    </xf>
    <xf numFmtId="0" fontId="3" fillId="0" borderId="0" xfId="0" applyFont="1" applyAlignment="1">
      <alignment vertical="center"/>
    </xf>
    <xf numFmtId="43" fontId="0" fillId="0" borderId="0" xfId="0" pivotButton="1" applyNumberFormat="1"/>
    <xf numFmtId="43" fontId="0" fillId="0" borderId="0" xfId="0" applyNumberFormat="1" applyAlignment="1">
      <alignment horizontal="left"/>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43" fontId="0" fillId="0" borderId="4" xfId="0" applyNumberFormat="1" applyBorder="1" applyAlignment="1">
      <alignment horizontal="center"/>
    </xf>
    <xf numFmtId="43" fontId="0" fillId="0" borderId="5" xfId="0" applyNumberFormat="1" applyBorder="1" applyAlignment="1">
      <alignment horizontal="center"/>
    </xf>
    <xf numFmtId="43" fontId="0" fillId="0" borderId="6" xfId="0" applyNumberFormat="1" applyBorder="1" applyAlignment="1">
      <alignment horizontal="center"/>
    </xf>
    <xf numFmtId="43" fontId="0" fillId="0" borderId="7" xfId="0" applyNumberFormat="1" applyBorder="1" applyAlignment="1">
      <alignment horizontal="center"/>
    </xf>
    <xf numFmtId="43" fontId="0" fillId="0" borderId="8" xfId="0" applyNumberFormat="1" applyBorder="1" applyAlignment="1">
      <alignment horizontal="center"/>
    </xf>
    <xf numFmtId="43" fontId="0" fillId="0" borderId="9" xfId="0" applyNumberFormat="1" applyBorder="1" applyAlignment="1">
      <alignment horizontal="center"/>
    </xf>
    <xf numFmtId="164" fontId="3" fillId="0" borderId="0" xfId="0" applyNumberFormat="1" applyFont="1" applyAlignment="1">
      <alignment horizontal="right" vertical="center"/>
    </xf>
    <xf numFmtId="165" fontId="6" fillId="0" borderId="0" xfId="0" applyNumberFormat="1" applyFont="1" applyAlignment="1">
      <alignment vertical="center"/>
    </xf>
    <xf numFmtId="165" fontId="2" fillId="0" borderId="0" xfId="0" applyNumberFormat="1" applyFont="1"/>
    <xf numFmtId="166" fontId="3" fillId="0" borderId="0" xfId="0" applyNumberFormat="1" applyFont="1" applyAlignment="1">
      <alignment horizontal="center" vertical="center"/>
    </xf>
    <xf numFmtId="0" fontId="4" fillId="3" borderId="0" xfId="0" applyFont="1" applyFill="1"/>
    <xf numFmtId="0" fontId="7" fillId="2" borderId="0" xfId="0" applyFont="1" applyFill="1" applyAlignment="1">
      <alignment horizontal="center" vertical="center"/>
    </xf>
    <xf numFmtId="0" fontId="5" fillId="2" borderId="0" xfId="0" applyFont="1" applyFill="1" applyAlignment="1">
      <alignment horizontal="center" vertical="center"/>
    </xf>
  </cellXfs>
  <cellStyles count="2">
    <cellStyle name="Comma" xfId="1" builtinId="3"/>
    <cellStyle name="Normal" xfId="0" builtinId="0"/>
  </cellStyles>
  <dxfs count="59">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6" formatCode="0.0,&quot;K&quot;"/>
    </dxf>
    <dxf>
      <numFmt numFmtId="35" formatCode="_(* #,##0.00_);_(* \(#,##0.00\);_(* &quot;-&quot;??_);_(@_)"/>
    </dxf>
    <dxf>
      <alignment horizontal="center"/>
    </dxf>
    <dxf>
      <alignment horizontal="center"/>
    </dxf>
    <dxf>
      <alignment horizontal="center"/>
    </dxf>
    <dxf>
      <font>
        <b/>
        <sz val="16"/>
      </font>
      <alignment vertical="center"/>
    </dxf>
    <dxf>
      <font>
        <b/>
        <sz val="16"/>
      </font>
      <alignment vertical="center"/>
    </dxf>
    <dxf>
      <font>
        <b/>
        <sz val="16"/>
      </font>
      <alignment vertical="center"/>
    </dxf>
    <dxf>
      <alignment horizontal="right"/>
    </dxf>
    <dxf>
      <alignment horizontal="general"/>
    </dxf>
    <dxf>
      <alignment horizontal="general"/>
    </dxf>
    <dxf>
      <alignment vertical="center"/>
    </dxf>
    <dxf>
      <alignment vertical="center"/>
    </dxf>
    <dxf>
      <alignment vertical="center"/>
    </dxf>
    <dxf>
      <font>
        <b/>
        <sz val="16"/>
      </font>
    </dxf>
    <dxf>
      <font>
        <b/>
        <sz val="16"/>
      </font>
    </dxf>
    <dxf>
      <font>
        <b/>
        <sz val="16"/>
      </font>
    </dxf>
    <dxf>
      <numFmt numFmtId="165" formatCode="0.0,,&quot;M&quot;"/>
    </dxf>
    <dxf>
      <font>
        <b val="0"/>
      </font>
    </dxf>
    <dxf>
      <font>
        <b/>
        <sz val="16"/>
      </font>
    </dxf>
    <dxf>
      <font>
        <b/>
        <sz val="16"/>
      </font>
    </dxf>
    <dxf>
      <font>
        <b/>
        <sz val="16"/>
      </font>
    </dxf>
    <dxf>
      <numFmt numFmtId="35" formatCode="_(* #,##0.00_);_(* \(#,##0.00\);_(* &quot;-&quot;??_);_(@_)"/>
    </dxf>
    <dxf>
      <numFmt numFmtId="35" formatCode="_(* #,##0.00_);_(* \(#,##0.00\);_(* &quot;-&quot;??_);_(@_)"/>
    </dxf>
    <dxf>
      <numFmt numFmtId="165" formatCode="0.0,,&quot;M&quot;"/>
    </dxf>
    <dxf>
      <numFmt numFmtId="164" formatCode="_(* #,##0_);_(* \(#,##0\);_(* &quot;-&quot;??_);_(@_)"/>
    </dxf>
    <dxf>
      <font>
        <sz val="36"/>
      </font>
    </dxf>
    <dxf>
      <font>
        <b/>
      </font>
    </dxf>
    <dxf>
      <numFmt numFmtId="164" formatCode="_(* #,##0_);_(* \(#,##0\);_(* &quot;-&quot;??_);_(@_)"/>
    </dxf>
    <dxf>
      <font>
        <b/>
      </font>
    </dxf>
    <dxf>
      <font>
        <sz val="20"/>
      </font>
    </dxf>
    <dxf>
      <alignment horizontal="general"/>
    </dxf>
    <dxf>
      <alignment horizontal="general"/>
    </dxf>
    <dxf>
      <alignment horizontal="general"/>
    </dxf>
    <dxf>
      <alignment vertical="center"/>
    </dxf>
    <dxf>
      <alignment vertical="center"/>
    </dxf>
    <dxf>
      <alignment vertical="center"/>
    </dxf>
    <dxf>
      <font>
        <b/>
      </font>
    </dxf>
    <dxf>
      <font>
        <sz val="16"/>
      </font>
    </dxf>
    <dxf>
      <font>
        <sz val="16"/>
      </font>
    </dxf>
    <dxf>
      <numFmt numFmtId="35" formatCode="_(* #,##0.00_);_(* \(#,##0.00\);_(* &quot;-&quot;??_);_(@_)"/>
    </dxf>
    <dxf>
      <numFmt numFmtId="35" formatCode="_(* #,##0.00_);_(* \(#,##0.00\);_(* &quot;-&quot;??_);_(@_)"/>
    </dxf>
    <dxf>
      <numFmt numFmtId="35" formatCode="_(* #,##0.00_);_(* \(#,##0.00\);_(* &quot;-&quot;??_);_(@_)"/>
    </dxf>
    <dxf>
      <alignment horizontal="center"/>
    </dxf>
    <dxf>
      <alignment horizontal="center"/>
    </dxf>
    <dxf>
      <alignment horizontal="center"/>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26" Type="http://schemas.openxmlformats.org/officeDocument/2006/relationships/connections" Target="connections.xml"/><Relationship Id="rId39" Type="http://schemas.openxmlformats.org/officeDocument/2006/relationships/customXml" Target="../customXml/item10.xml"/><Relationship Id="rId21" Type="http://schemas.microsoft.com/office/2007/relationships/slicerCache" Target="slicerCaches/slicerCache1.xml"/><Relationship Id="rId34" Type="http://schemas.openxmlformats.org/officeDocument/2006/relationships/customXml" Target="../customXml/item5.xml"/><Relationship Id="rId42" Type="http://schemas.openxmlformats.org/officeDocument/2006/relationships/customXml" Target="../customXml/item13.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microsoft.com/office/2007/relationships/slicerCache" Target="slicerCaches/slicerCache4.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microsoft.com/office/2007/relationships/slicerCache" Target="slicerCaches/slicerCache3.xml"/><Relationship Id="rId28" Type="http://schemas.openxmlformats.org/officeDocument/2006/relationships/sharedStrings" Target="sharedStrings.xml"/><Relationship Id="rId36" Type="http://schemas.openxmlformats.org/officeDocument/2006/relationships/customXml" Target="../customXml/item7.xml"/><Relationship Id="rId10" Type="http://schemas.openxmlformats.org/officeDocument/2006/relationships/pivotCacheDefinition" Target="pivotCache/pivotCacheDefinition8.xml"/><Relationship Id="rId19" Type="http://schemas.openxmlformats.org/officeDocument/2006/relationships/pivotCacheDefinition" Target="pivotCache/pivotCacheDefinition17.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microsoft.com/office/2007/relationships/slicerCache" Target="slicerCaches/slicerCache2.xml"/><Relationship Id="rId27" Type="http://schemas.openxmlformats.org/officeDocument/2006/relationships/styles" Target="styl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theme" Target="theme/theme1.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8.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 Analysis.xlsx]pivot table!category_total_price</c:name>
    <c:fmtId val="3"/>
  </c:pivotSource>
  <c:chart>
    <c:title>
      <c:tx>
        <c:rich>
          <a:bodyPr rot="0" spcFirstLastPara="1" vertOverflow="ellipsis" vert="horz" wrap="square" anchor="ctr" anchorCtr="1"/>
          <a:lstStyle/>
          <a:p>
            <a:pPr>
              <a:defRPr sz="2800" b="1" i="0" u="none" strike="noStrike" kern="1200" baseline="0">
                <a:solidFill>
                  <a:schemeClr val="dk1">
                    <a:lumMod val="75000"/>
                    <a:lumOff val="25000"/>
                  </a:schemeClr>
                </a:solidFill>
                <a:latin typeface="+mn-lt"/>
                <a:ea typeface="+mn-ea"/>
                <a:cs typeface="+mn-cs"/>
              </a:defRPr>
            </a:pPr>
            <a:r>
              <a:rPr lang="en-US" sz="2800"/>
              <a:t>Sales By Category</a:t>
            </a:r>
          </a:p>
        </c:rich>
      </c:tx>
      <c:layout>
        <c:manualLayout>
          <c:xMode val="edge"/>
          <c:yMode val="edge"/>
          <c:x val="0.32196132290954088"/>
          <c:y val="5.3924075910392319E-2"/>
        </c:manualLayout>
      </c:layout>
      <c:overlay val="0"/>
      <c:spPr>
        <a:noFill/>
        <a:ln>
          <a:noFill/>
        </a:ln>
        <a:effectLst/>
      </c:spPr>
      <c:txPr>
        <a:bodyPr rot="0" spcFirstLastPara="1" vertOverflow="ellipsis" vert="horz" wrap="square" anchor="ctr" anchorCtr="1"/>
        <a:lstStyle/>
        <a:p>
          <a:pPr>
            <a:defRPr sz="2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table'!$F$26</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table'!$E$27:$E$31</c:f>
              <c:strCache>
                <c:ptCount val="4"/>
                <c:pt idx="0">
                  <c:v>Mobile</c:v>
                </c:pt>
                <c:pt idx="1">
                  <c:v>Office</c:v>
                </c:pt>
                <c:pt idx="2">
                  <c:v>Electronics</c:v>
                </c:pt>
                <c:pt idx="3">
                  <c:v>Accessories</c:v>
                </c:pt>
              </c:strCache>
            </c:strRef>
          </c:cat>
          <c:val>
            <c:numRef>
              <c:f>'pivot table'!$F$27:$F$31</c:f>
              <c:numCache>
                <c:formatCode>_(* #,##0.00_);_(* \(#,##0.00\);_(* "-"??_);_(@_)</c:formatCode>
                <c:ptCount val="4"/>
                <c:pt idx="0">
                  <c:v>30012217.890000012</c:v>
                </c:pt>
                <c:pt idx="1">
                  <c:v>27263220.810000006</c:v>
                </c:pt>
                <c:pt idx="2">
                  <c:v>26965588.340000033</c:v>
                </c:pt>
                <c:pt idx="3">
                  <c:v>26956009.020000003</c:v>
                </c:pt>
              </c:numCache>
            </c:numRef>
          </c:val>
          <c:extLst>
            <c:ext xmlns:c16="http://schemas.microsoft.com/office/drawing/2014/chart" uri="{C3380CC4-5D6E-409C-BE32-E72D297353CC}">
              <c16:uniqueId val="{00000001-CE9C-44F2-B13C-17B8FA20F82C}"/>
            </c:ext>
          </c:extLst>
        </c:ser>
        <c:dLbls>
          <c:showLegendKey val="0"/>
          <c:showVal val="1"/>
          <c:showCatName val="0"/>
          <c:showSerName val="0"/>
          <c:showPercent val="0"/>
          <c:showBubbleSize val="0"/>
        </c:dLbls>
        <c:gapWidth val="150"/>
        <c:overlap val="-25"/>
        <c:axId val="206206544"/>
        <c:axId val="206208624"/>
      </c:barChart>
      <c:catAx>
        <c:axId val="2062065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chemeClr val="tx1"/>
                </a:solidFill>
                <a:latin typeface="+mn-lt"/>
                <a:ea typeface="+mn-ea"/>
                <a:cs typeface="+mn-cs"/>
              </a:defRPr>
            </a:pPr>
            <a:endParaRPr lang="en-US"/>
          </a:p>
        </c:txPr>
        <c:crossAx val="206208624"/>
        <c:crosses val="autoZero"/>
        <c:auto val="1"/>
        <c:lblAlgn val="ctr"/>
        <c:lblOffset val="100"/>
        <c:noMultiLvlLbl val="0"/>
      </c:catAx>
      <c:valAx>
        <c:axId val="206208624"/>
        <c:scaling>
          <c:orientation val="minMax"/>
        </c:scaling>
        <c:delete val="1"/>
        <c:axPos val="l"/>
        <c:numFmt formatCode="_(* #,##0.00_);_(* \(#,##0.00\);_(* &quot;-&quot;??_);_(@_)" sourceLinked="1"/>
        <c:majorTickMark val="none"/>
        <c:minorTickMark val="none"/>
        <c:tickLblPos val="nextTo"/>
        <c:crossAx val="206206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Analysis.xlsx]pivot table!category_profit</c:name>
    <c:fmtId val="3"/>
  </c:pivotSource>
  <c:chart>
    <c:title>
      <c:tx>
        <c:rich>
          <a:bodyPr rot="0" spcFirstLastPara="1" vertOverflow="ellipsis" vert="horz" wrap="square" anchor="ctr" anchorCtr="1"/>
          <a:lstStyle/>
          <a:p>
            <a:pPr>
              <a:defRPr sz="2800" b="1" i="0" u="none" strike="noStrike" kern="1200" baseline="0">
                <a:solidFill>
                  <a:schemeClr val="dk1">
                    <a:lumMod val="75000"/>
                    <a:lumOff val="25000"/>
                  </a:schemeClr>
                </a:solidFill>
                <a:latin typeface="+mn-lt"/>
                <a:ea typeface="+mn-ea"/>
                <a:cs typeface="+mn-cs"/>
              </a:defRPr>
            </a:pPr>
            <a:r>
              <a:rPr lang="en-US" sz="2800"/>
              <a:t>Profit By Category</a:t>
            </a:r>
          </a:p>
        </c:rich>
      </c:tx>
      <c:layout>
        <c:manualLayout>
          <c:xMode val="edge"/>
          <c:yMode val="edge"/>
          <c:x val="0.31286789151356081"/>
          <c:y val="5.9164479440069993E-2"/>
        </c:manualLayout>
      </c:layout>
      <c:overlay val="0"/>
      <c:spPr>
        <a:noFill/>
        <a:ln>
          <a:noFill/>
        </a:ln>
        <a:effectLst/>
      </c:spPr>
      <c:txPr>
        <a:bodyPr rot="0" spcFirstLastPara="1" vertOverflow="ellipsis" vert="horz" wrap="square" anchor="ctr" anchorCtr="1"/>
        <a:lstStyle/>
        <a:p>
          <a:pPr>
            <a:defRPr sz="2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table'!$I$26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table'!$H$27:$H$31</c:f>
              <c:strCache>
                <c:ptCount val="4"/>
                <c:pt idx="0">
                  <c:v>Mobile</c:v>
                </c:pt>
                <c:pt idx="1">
                  <c:v>Accessories</c:v>
                </c:pt>
                <c:pt idx="2">
                  <c:v>Office</c:v>
                </c:pt>
                <c:pt idx="3">
                  <c:v>Electronics</c:v>
                </c:pt>
              </c:strCache>
            </c:strRef>
          </c:cat>
          <c:val>
            <c:numRef>
              <c:f>'pivot table'!$I$27:$I$31</c:f>
              <c:numCache>
                <c:formatCode>_(* #,##0.00_);_(* \(#,##0.00\);_(* "-"??_);_(@_)</c:formatCode>
                <c:ptCount val="4"/>
                <c:pt idx="0">
                  <c:v>6166368.6299999999</c:v>
                </c:pt>
                <c:pt idx="1">
                  <c:v>5674907.3700000001</c:v>
                </c:pt>
                <c:pt idx="2">
                  <c:v>5560581</c:v>
                </c:pt>
                <c:pt idx="3">
                  <c:v>5482556.2800000003</c:v>
                </c:pt>
              </c:numCache>
            </c:numRef>
          </c:val>
          <c:extLst>
            <c:ext xmlns:c16="http://schemas.microsoft.com/office/drawing/2014/chart" uri="{C3380CC4-5D6E-409C-BE32-E72D297353CC}">
              <c16:uniqueId val="{00000002-7EB3-41DF-B4E1-37226A18F8C3}"/>
            </c:ext>
          </c:extLst>
        </c:ser>
        <c:dLbls>
          <c:showLegendKey val="0"/>
          <c:showVal val="1"/>
          <c:showCatName val="0"/>
          <c:showSerName val="0"/>
          <c:showPercent val="0"/>
          <c:showBubbleSize val="0"/>
        </c:dLbls>
        <c:gapWidth val="150"/>
        <c:overlap val="-25"/>
        <c:axId val="1355505136"/>
        <c:axId val="1355497648"/>
      </c:barChart>
      <c:catAx>
        <c:axId val="13555051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chemeClr val="tx1"/>
                </a:solidFill>
                <a:latin typeface="+mn-lt"/>
                <a:ea typeface="+mn-ea"/>
                <a:cs typeface="+mn-cs"/>
              </a:defRPr>
            </a:pPr>
            <a:endParaRPr lang="en-US"/>
          </a:p>
        </c:txPr>
        <c:crossAx val="1355497648"/>
        <c:crosses val="autoZero"/>
        <c:auto val="1"/>
        <c:lblAlgn val="ctr"/>
        <c:lblOffset val="100"/>
        <c:noMultiLvlLbl val="0"/>
      </c:catAx>
      <c:valAx>
        <c:axId val="1355497648"/>
        <c:scaling>
          <c:orientation val="minMax"/>
        </c:scaling>
        <c:delete val="1"/>
        <c:axPos val="l"/>
        <c:numFmt formatCode="_(* #,##0.00_);_(* \(#,##0.00\);_(* &quot;-&quot;??_);_(@_)" sourceLinked="1"/>
        <c:majorTickMark val="none"/>
        <c:minorTickMark val="none"/>
        <c:tickLblPos val="nextTo"/>
        <c:crossAx val="1355505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 Analysis.xlsx]pivot table!country_total</c:name>
    <c:fmtId val="3"/>
  </c:pivotSource>
  <c:chart>
    <c:title>
      <c:tx>
        <c:rich>
          <a:bodyPr rot="0" spcFirstLastPara="1" vertOverflow="ellipsis" vert="horz" wrap="square" anchor="ctr" anchorCtr="1"/>
          <a:lstStyle/>
          <a:p>
            <a:pPr>
              <a:defRPr sz="2800" b="1" i="0" u="none" strike="noStrike" kern="1200" baseline="0">
                <a:solidFill>
                  <a:schemeClr val="accent1">
                    <a:lumMod val="50000"/>
                  </a:schemeClr>
                </a:solidFill>
                <a:latin typeface="+mn-lt"/>
                <a:ea typeface="+mn-ea"/>
                <a:cs typeface="+mn-cs"/>
              </a:defRPr>
            </a:pPr>
            <a:r>
              <a:rPr lang="en-US" sz="2800"/>
              <a:t>Sales By Country</a:t>
            </a:r>
          </a:p>
        </c:rich>
      </c:tx>
      <c:layout>
        <c:manualLayout>
          <c:xMode val="edge"/>
          <c:yMode val="edge"/>
          <c:x val="0.34739785325281441"/>
          <c:y val="5.9164479440069993E-2"/>
        </c:manualLayout>
      </c:layout>
      <c:overlay val="0"/>
      <c:spPr>
        <a:noFill/>
        <a:ln>
          <a:noFill/>
        </a:ln>
        <a:effectLst/>
      </c:spPr>
      <c:txPr>
        <a:bodyPr rot="0" spcFirstLastPara="1" vertOverflow="ellipsis" vert="horz" wrap="square" anchor="ctr" anchorCtr="1"/>
        <a:lstStyle/>
        <a:p>
          <a:pPr>
            <a:defRPr sz="2800" b="1" i="0" u="none" strike="noStrike" kern="1200" baseline="0">
              <a:solidFill>
                <a:schemeClr val="accent1">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table'!$L$5</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cat>
            <c:strRef>
              <c:f>'pivot table'!$K$6:$K$14</c:f>
              <c:strCache>
                <c:ptCount val="8"/>
                <c:pt idx="0">
                  <c:v>Qatar</c:v>
                </c:pt>
                <c:pt idx="1">
                  <c:v>Egypt</c:v>
                </c:pt>
                <c:pt idx="2">
                  <c:v>Algeria</c:v>
                </c:pt>
                <c:pt idx="3">
                  <c:v>UAE</c:v>
                </c:pt>
                <c:pt idx="4">
                  <c:v>Moroco</c:v>
                </c:pt>
                <c:pt idx="5">
                  <c:v>Tunisia</c:v>
                </c:pt>
                <c:pt idx="6">
                  <c:v>KSA</c:v>
                </c:pt>
                <c:pt idx="7">
                  <c:v>Jordan</c:v>
                </c:pt>
              </c:strCache>
            </c:strRef>
          </c:cat>
          <c:val>
            <c:numRef>
              <c:f>'pivot table'!$L$6:$L$14</c:f>
              <c:numCache>
                <c:formatCode>_(* #,##0.00_);_(* \(#,##0.00\);_(* "-"??_);_(@_)</c:formatCode>
                <c:ptCount val="8"/>
                <c:pt idx="0">
                  <c:v>15785583.27</c:v>
                </c:pt>
                <c:pt idx="1">
                  <c:v>14681924.730000002</c:v>
                </c:pt>
                <c:pt idx="2">
                  <c:v>14279195.050000003</c:v>
                </c:pt>
                <c:pt idx="3">
                  <c:v>14132757.330000004</c:v>
                </c:pt>
                <c:pt idx="4">
                  <c:v>13558988.389999995</c:v>
                </c:pt>
                <c:pt idx="5">
                  <c:v>13280984.799999999</c:v>
                </c:pt>
                <c:pt idx="6">
                  <c:v>13124636.600000001</c:v>
                </c:pt>
                <c:pt idx="7">
                  <c:v>12352965.890000008</c:v>
                </c:pt>
              </c:numCache>
            </c:numRef>
          </c:val>
          <c:extLst>
            <c:ext xmlns:c16="http://schemas.microsoft.com/office/drawing/2014/chart" uri="{C3380CC4-5D6E-409C-BE32-E72D297353CC}">
              <c16:uniqueId val="{00000002-465D-42E0-8FE3-09D6FD2D5B8A}"/>
            </c:ext>
          </c:extLst>
        </c:ser>
        <c:dLbls>
          <c:showLegendKey val="0"/>
          <c:showVal val="0"/>
          <c:showCatName val="0"/>
          <c:showSerName val="0"/>
          <c:showPercent val="0"/>
          <c:showBubbleSize val="0"/>
        </c:dLbls>
        <c:gapWidth val="150"/>
        <c:overlap val="-25"/>
        <c:axId val="74538016"/>
        <c:axId val="74537184"/>
      </c:barChart>
      <c:catAx>
        <c:axId val="7453801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chemeClr val="tx1"/>
                </a:solidFill>
                <a:latin typeface="+mn-lt"/>
                <a:ea typeface="+mn-ea"/>
                <a:cs typeface="+mn-cs"/>
              </a:defRPr>
            </a:pPr>
            <a:endParaRPr lang="en-US"/>
          </a:p>
        </c:txPr>
        <c:crossAx val="74537184"/>
        <c:crosses val="autoZero"/>
        <c:auto val="1"/>
        <c:lblAlgn val="ctr"/>
        <c:lblOffset val="100"/>
        <c:noMultiLvlLbl val="0"/>
      </c:catAx>
      <c:valAx>
        <c:axId val="74537184"/>
        <c:scaling>
          <c:orientation val="minMax"/>
        </c:scaling>
        <c:delete val="1"/>
        <c:axPos val="b"/>
        <c:numFmt formatCode="_(* #,##0.00_);_(* \(#,##0.00\);_(* &quot;-&quot;??_);_(@_)" sourceLinked="1"/>
        <c:majorTickMark val="none"/>
        <c:minorTickMark val="none"/>
        <c:tickLblPos val="nextTo"/>
        <c:crossAx val="74538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Analysis.xlsx]pivot table!country_profit</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800" b="1" i="0" u="none" strike="noStrike" kern="1200" baseline="0">
                <a:solidFill>
                  <a:sysClr val="windowText" lastClr="000000">
                    <a:lumMod val="75000"/>
                    <a:lumOff val="25000"/>
                  </a:sysClr>
                </a:solidFill>
                <a:latin typeface="+mn-lt"/>
                <a:ea typeface="+mn-ea"/>
                <a:cs typeface="+mn-cs"/>
              </a:defRPr>
            </a:pPr>
            <a:r>
              <a:rPr lang="en-US" sz="2800" b="1" i="0" baseline="0">
                <a:effectLst/>
              </a:rPr>
              <a:t>Profit By Country</a:t>
            </a:r>
            <a:endParaRPr lang="en-US" sz="2800">
              <a:effectLst/>
            </a:endParaRPr>
          </a:p>
        </c:rich>
      </c:tx>
      <c:layout>
        <c:manualLayout>
          <c:xMode val="edge"/>
          <c:yMode val="edge"/>
          <c:x val="0.35722514441355818"/>
          <c:y val="5.398763264591727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table'!$O$5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table'!$N$6:$N$14</c:f>
              <c:strCache>
                <c:ptCount val="8"/>
                <c:pt idx="0">
                  <c:v>Qatar</c:v>
                </c:pt>
                <c:pt idx="1">
                  <c:v>UAE</c:v>
                </c:pt>
                <c:pt idx="2">
                  <c:v>Algeria</c:v>
                </c:pt>
                <c:pt idx="3">
                  <c:v>Egypt</c:v>
                </c:pt>
                <c:pt idx="4">
                  <c:v>Tunisia</c:v>
                </c:pt>
                <c:pt idx="5">
                  <c:v>Moroco</c:v>
                </c:pt>
                <c:pt idx="6">
                  <c:v>KSA</c:v>
                </c:pt>
                <c:pt idx="7">
                  <c:v>Jordan</c:v>
                </c:pt>
              </c:strCache>
            </c:strRef>
          </c:cat>
          <c:val>
            <c:numRef>
              <c:f>'pivot table'!$O$6:$O$14</c:f>
              <c:numCache>
                <c:formatCode>_(* #,##0.00_);_(* \(#,##0.00\);_(* "-"??_);_(@_)</c:formatCode>
                <c:ptCount val="8"/>
                <c:pt idx="0">
                  <c:v>3205681.21</c:v>
                </c:pt>
                <c:pt idx="1">
                  <c:v>2998111.46</c:v>
                </c:pt>
                <c:pt idx="2">
                  <c:v>2980367.18</c:v>
                </c:pt>
                <c:pt idx="3">
                  <c:v>2951640.94</c:v>
                </c:pt>
                <c:pt idx="4">
                  <c:v>2784702.51</c:v>
                </c:pt>
                <c:pt idx="5">
                  <c:v>2752135.14</c:v>
                </c:pt>
                <c:pt idx="6">
                  <c:v>2718291.01</c:v>
                </c:pt>
                <c:pt idx="7">
                  <c:v>2493483.83</c:v>
                </c:pt>
              </c:numCache>
            </c:numRef>
          </c:val>
          <c:extLst>
            <c:ext xmlns:c16="http://schemas.microsoft.com/office/drawing/2014/chart" uri="{C3380CC4-5D6E-409C-BE32-E72D297353CC}">
              <c16:uniqueId val="{00000002-27F4-4625-89C6-39FA59A8EA15}"/>
            </c:ext>
          </c:extLst>
        </c:ser>
        <c:dLbls>
          <c:showLegendKey val="0"/>
          <c:showVal val="0"/>
          <c:showCatName val="0"/>
          <c:showSerName val="0"/>
          <c:showPercent val="0"/>
          <c:showBubbleSize val="0"/>
        </c:dLbls>
        <c:gapWidth val="150"/>
        <c:overlap val="-25"/>
        <c:axId val="172972976"/>
        <c:axId val="172977136"/>
      </c:barChart>
      <c:catAx>
        <c:axId val="17297297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chemeClr val="tx1"/>
                </a:solidFill>
                <a:latin typeface="+mn-lt"/>
                <a:ea typeface="+mn-ea"/>
                <a:cs typeface="+mn-cs"/>
              </a:defRPr>
            </a:pPr>
            <a:endParaRPr lang="en-US"/>
          </a:p>
        </c:txPr>
        <c:crossAx val="172977136"/>
        <c:crosses val="autoZero"/>
        <c:auto val="1"/>
        <c:lblAlgn val="ctr"/>
        <c:lblOffset val="100"/>
        <c:noMultiLvlLbl val="0"/>
      </c:catAx>
      <c:valAx>
        <c:axId val="172977136"/>
        <c:scaling>
          <c:orientation val="minMax"/>
        </c:scaling>
        <c:delete val="1"/>
        <c:axPos val="b"/>
        <c:numFmt formatCode="_(* #,##0.00_);_(* \(#,##0.00\);_(* &quot;-&quot;??_);_(@_)" sourceLinked="1"/>
        <c:majorTickMark val="none"/>
        <c:minorTickMark val="none"/>
        <c:tickLblPos val="nextTo"/>
        <c:crossAx val="172972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 Analysis.xlsx]pivot table!month_total</c:name>
    <c:fmtId val="3"/>
  </c:pivotSource>
  <c:chart>
    <c:title>
      <c:tx>
        <c:rich>
          <a:bodyPr rot="0" spcFirstLastPara="1" vertOverflow="ellipsis" vert="horz" wrap="square" anchor="ctr" anchorCtr="1"/>
          <a:lstStyle/>
          <a:p>
            <a:pPr>
              <a:defRPr sz="2800" b="1" i="0" u="none" strike="noStrike" kern="1200" baseline="0">
                <a:solidFill>
                  <a:schemeClr val="dk1">
                    <a:lumMod val="75000"/>
                    <a:lumOff val="25000"/>
                  </a:schemeClr>
                </a:solidFill>
                <a:latin typeface="+mn-lt"/>
                <a:ea typeface="+mn-ea"/>
                <a:cs typeface="+mn-cs"/>
              </a:defRPr>
            </a:pPr>
            <a:r>
              <a:rPr lang="en-US" sz="2800"/>
              <a:t>Sales</a:t>
            </a:r>
            <a:r>
              <a:rPr lang="en-US" sz="2800" baseline="0"/>
              <a:t> By Month</a:t>
            </a:r>
            <a:endParaRPr lang="en-US" sz="2800"/>
          </a:p>
        </c:rich>
      </c:tx>
      <c:layout>
        <c:manualLayout>
          <c:xMode val="edge"/>
          <c:yMode val="edge"/>
          <c:x val="0.42683470408761193"/>
          <c:y val="3.9926011507178005E-2"/>
        </c:manualLayout>
      </c:layout>
      <c:overlay val="0"/>
      <c:spPr>
        <a:noFill/>
        <a:ln>
          <a:noFill/>
        </a:ln>
        <a:effectLst/>
      </c:spPr>
      <c:txPr>
        <a:bodyPr rot="0" spcFirstLastPara="1" vertOverflow="ellipsis" vert="horz" wrap="square" anchor="ctr" anchorCtr="1"/>
        <a:lstStyle/>
        <a:p>
          <a:pPr>
            <a:defRPr sz="2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5"/>
            </a:solidFill>
            <a:round/>
          </a:ln>
          <a:effectLst/>
        </c:spPr>
        <c:marker>
          <c:symbol val="circle"/>
          <c:size val="17"/>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1750" cap="rnd">
            <a:solidFill>
              <a:schemeClr val="accent5"/>
            </a:solidFill>
            <a:round/>
          </a:ln>
          <a:effectLst/>
        </c:spPr>
        <c:marker>
          <c:symbol val="circle"/>
          <c:size val="17"/>
          <c:spPr>
            <a:solidFill>
              <a:schemeClr val="accent5"/>
            </a:solidFill>
            <a:ln>
              <a:noFill/>
            </a:ln>
            <a:effectLst/>
          </c:spPr>
        </c:marker>
      </c:pivotFmt>
      <c:pivotFmt>
        <c:idx val="4"/>
        <c:spPr>
          <a:ln w="31750" cap="rnd">
            <a:solidFill>
              <a:schemeClr val="accent5"/>
            </a:solidFill>
            <a:round/>
          </a:ln>
          <a:effectLst/>
        </c:spPr>
        <c:marker>
          <c:symbol val="circle"/>
          <c:size val="17"/>
          <c:spPr>
            <a:solidFill>
              <a:schemeClr val="accent5"/>
            </a:solidFill>
            <a:ln>
              <a:noFill/>
            </a:ln>
            <a:effectLst/>
          </c:spPr>
        </c:marker>
      </c:pivotFmt>
      <c:pivotFmt>
        <c:idx val="5"/>
        <c:spPr>
          <a:ln w="31750" cap="rnd">
            <a:solidFill>
              <a:schemeClr val="accent5"/>
            </a:solidFill>
            <a:round/>
          </a:ln>
          <a:effectLst/>
        </c:spPr>
        <c:marker>
          <c:symbol val="circle"/>
          <c:size val="17"/>
          <c:spPr>
            <a:solidFill>
              <a:schemeClr val="accent5"/>
            </a:solidFill>
            <a:ln>
              <a:noFill/>
            </a:ln>
            <a:effectLst/>
          </c:spPr>
        </c:marker>
      </c:pivotFmt>
      <c:pivotFmt>
        <c:idx val="6"/>
        <c:spPr>
          <a:ln w="31750" cap="rnd">
            <a:solidFill>
              <a:schemeClr val="accent5"/>
            </a:solidFill>
            <a:round/>
          </a:ln>
          <a:effectLst/>
        </c:spPr>
        <c:marker>
          <c:symbol val="circle"/>
          <c:size val="17"/>
          <c:spPr>
            <a:solidFill>
              <a:schemeClr val="accent5"/>
            </a:solidFill>
            <a:ln>
              <a:noFill/>
            </a:ln>
            <a:effectLst/>
          </c:spPr>
        </c:marker>
      </c:pivotFmt>
      <c:pivotFmt>
        <c:idx val="7"/>
        <c:spPr>
          <a:ln w="31750" cap="rnd">
            <a:solidFill>
              <a:schemeClr val="accent5"/>
            </a:solidFill>
            <a:round/>
          </a:ln>
          <a:effectLst/>
        </c:spPr>
        <c:marker>
          <c:symbol val="circle"/>
          <c:size val="17"/>
          <c:spPr>
            <a:solidFill>
              <a:schemeClr val="accent5"/>
            </a:solidFill>
            <a:ln>
              <a:noFill/>
            </a:ln>
            <a:effectLst/>
          </c:spPr>
        </c:marker>
      </c:pivotFmt>
      <c:pivotFmt>
        <c:idx val="8"/>
        <c:spPr>
          <a:ln w="31750" cap="rnd">
            <a:solidFill>
              <a:schemeClr val="accent5"/>
            </a:solidFill>
            <a:round/>
          </a:ln>
          <a:effectLst/>
        </c:spPr>
        <c:marker>
          <c:symbol val="circle"/>
          <c:size val="17"/>
          <c:spPr>
            <a:solidFill>
              <a:schemeClr val="accent5"/>
            </a:solidFill>
            <a:ln>
              <a:noFill/>
            </a:ln>
            <a:effectLst/>
          </c:spPr>
        </c:marker>
      </c:pivotFmt>
      <c:pivotFmt>
        <c:idx val="9"/>
        <c:spPr>
          <a:ln w="31750" cap="rnd">
            <a:solidFill>
              <a:schemeClr val="accent5"/>
            </a:solidFill>
            <a:round/>
          </a:ln>
          <a:effectLst/>
        </c:spPr>
        <c:marker>
          <c:symbol val="circle"/>
          <c:size val="17"/>
          <c:spPr>
            <a:solidFill>
              <a:schemeClr val="accent5"/>
            </a:solidFill>
            <a:ln>
              <a:noFill/>
            </a:ln>
            <a:effectLst/>
          </c:spPr>
        </c:marker>
      </c:pivotFmt>
      <c:pivotFmt>
        <c:idx val="10"/>
        <c:spPr>
          <a:ln w="31750" cap="rnd">
            <a:solidFill>
              <a:schemeClr val="accent5"/>
            </a:solidFill>
            <a:round/>
          </a:ln>
          <a:effectLst/>
        </c:spPr>
        <c:marker>
          <c:symbol val="circle"/>
          <c:size val="17"/>
          <c:spPr>
            <a:solidFill>
              <a:schemeClr val="accent5"/>
            </a:solidFill>
            <a:ln>
              <a:noFill/>
            </a:ln>
            <a:effectLst/>
          </c:spPr>
        </c:marker>
      </c:pivotFmt>
      <c:pivotFmt>
        <c:idx val="11"/>
        <c:spPr>
          <a:ln w="31750" cap="rnd">
            <a:solidFill>
              <a:schemeClr val="accent5"/>
            </a:solidFill>
            <a:round/>
          </a:ln>
          <a:effectLst/>
        </c:spPr>
        <c:marker>
          <c:symbol val="circle"/>
          <c:size val="17"/>
          <c:spPr>
            <a:solidFill>
              <a:schemeClr val="accent5"/>
            </a:solidFill>
            <a:ln>
              <a:noFill/>
            </a:ln>
            <a:effectLst/>
          </c:spPr>
        </c:marker>
      </c:pivotFmt>
      <c:pivotFmt>
        <c:idx val="12"/>
        <c:spPr>
          <a:ln w="31750" cap="rnd">
            <a:solidFill>
              <a:schemeClr val="accent5"/>
            </a:solidFill>
            <a:round/>
          </a:ln>
          <a:effectLst/>
        </c:spPr>
        <c:marker>
          <c:symbol val="circle"/>
          <c:size val="17"/>
          <c:spPr>
            <a:solidFill>
              <a:schemeClr val="accent5"/>
            </a:solidFill>
            <a:ln>
              <a:noFill/>
            </a:ln>
            <a:effectLst/>
          </c:spPr>
        </c:marker>
      </c:pivotFmt>
      <c:pivotFmt>
        <c:idx val="13"/>
        <c:spPr>
          <a:ln w="31750" cap="rnd">
            <a:solidFill>
              <a:schemeClr val="accent5"/>
            </a:solidFill>
            <a:round/>
          </a:ln>
          <a:effectLst/>
        </c:spPr>
        <c:marker>
          <c:symbol val="circle"/>
          <c:size val="17"/>
          <c:spPr>
            <a:solidFill>
              <a:schemeClr val="accent5"/>
            </a:solidFill>
            <a:ln>
              <a:noFill/>
            </a:ln>
            <a:effectLst/>
          </c:spPr>
        </c:marker>
      </c:pivotFmt>
      <c:pivotFmt>
        <c:idx val="14"/>
        <c:spPr>
          <a:ln w="31750" cap="rnd">
            <a:solidFill>
              <a:schemeClr val="accent5"/>
            </a:solidFill>
            <a:round/>
          </a:ln>
          <a:effectLst/>
        </c:spPr>
        <c:marker>
          <c:symbol val="circle"/>
          <c:size val="17"/>
          <c:spPr>
            <a:solidFill>
              <a:schemeClr val="accent5"/>
            </a:solidFill>
            <a:ln>
              <a:noFill/>
            </a:ln>
            <a:effectLst/>
          </c:spPr>
        </c:marker>
      </c:pivotFmt>
    </c:pivotFmts>
    <c:plotArea>
      <c:layout/>
      <c:lineChart>
        <c:grouping val="standard"/>
        <c:varyColors val="0"/>
        <c:ser>
          <c:idx val="0"/>
          <c:order val="0"/>
          <c:tx>
            <c:strRef>
              <c:f>'pivot table'!$M$23</c:f>
              <c:strCache>
                <c:ptCount val="1"/>
                <c:pt idx="0">
                  <c:v>Total</c:v>
                </c:pt>
              </c:strCache>
            </c:strRef>
          </c:tx>
          <c:spPr>
            <a:ln w="31750" cap="rnd">
              <a:solidFill>
                <a:schemeClr val="accent5"/>
              </a:solidFill>
              <a:round/>
            </a:ln>
            <a:effectLst/>
          </c:spPr>
          <c:marker>
            <c:symbol val="circle"/>
            <c:size val="17"/>
            <c:spPr>
              <a:solidFill>
                <a:schemeClr val="accent5"/>
              </a:solidFill>
              <a:ln>
                <a:noFill/>
              </a:ln>
              <a:effectLst/>
            </c:spPr>
          </c:marker>
          <c:cat>
            <c:strRef>
              <c:f>'pivot table'!$L$24:$L$36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table'!$M$24:$M$36</c:f>
              <c:numCache>
                <c:formatCode>_(* #,##0.00_);_(* \(#,##0.00\);_(* "-"??_);_(@_)</c:formatCode>
                <c:ptCount val="12"/>
                <c:pt idx="0">
                  <c:v>9566340.2400000058</c:v>
                </c:pt>
                <c:pt idx="1">
                  <c:v>8799117.0899999961</c:v>
                </c:pt>
                <c:pt idx="2">
                  <c:v>8677984.6299999952</c:v>
                </c:pt>
                <c:pt idx="3">
                  <c:v>8423452.7500000019</c:v>
                </c:pt>
                <c:pt idx="4">
                  <c:v>8821748.0700000022</c:v>
                </c:pt>
                <c:pt idx="5">
                  <c:v>8708271.4100000057</c:v>
                </c:pt>
                <c:pt idx="6">
                  <c:v>9489607.6999999974</c:v>
                </c:pt>
                <c:pt idx="7">
                  <c:v>9110635.9700000044</c:v>
                </c:pt>
                <c:pt idx="8">
                  <c:v>10128092.470000004</c:v>
                </c:pt>
                <c:pt idx="9">
                  <c:v>10058678.620000005</c:v>
                </c:pt>
                <c:pt idx="10">
                  <c:v>9293365.4499999955</c:v>
                </c:pt>
                <c:pt idx="11">
                  <c:v>10119741.659999995</c:v>
                </c:pt>
              </c:numCache>
            </c:numRef>
          </c:val>
          <c:smooth val="0"/>
          <c:extLst>
            <c:ext xmlns:c16="http://schemas.microsoft.com/office/drawing/2014/chart" uri="{C3380CC4-5D6E-409C-BE32-E72D297353CC}">
              <c16:uniqueId val="{0000000E-3625-4AA9-A4E7-2CFD2B0DC6BA}"/>
            </c:ext>
          </c:extLst>
        </c:ser>
        <c:dLbls>
          <c:showLegendKey val="0"/>
          <c:showVal val="0"/>
          <c:showCatName val="0"/>
          <c:showSerName val="0"/>
          <c:showPercent val="0"/>
          <c:showBubbleSize val="0"/>
        </c:dLbls>
        <c:marker val="1"/>
        <c:smooth val="0"/>
        <c:axId val="172955504"/>
        <c:axId val="172955920"/>
      </c:lineChart>
      <c:catAx>
        <c:axId val="1729555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chemeClr val="tx1"/>
                </a:solidFill>
                <a:latin typeface="+mn-lt"/>
                <a:ea typeface="+mn-ea"/>
                <a:cs typeface="+mn-cs"/>
              </a:defRPr>
            </a:pPr>
            <a:endParaRPr lang="en-US"/>
          </a:p>
        </c:txPr>
        <c:crossAx val="172955920"/>
        <c:crosses val="autoZero"/>
        <c:auto val="1"/>
        <c:lblAlgn val="ctr"/>
        <c:lblOffset val="100"/>
        <c:noMultiLvlLbl val="0"/>
      </c:catAx>
      <c:valAx>
        <c:axId val="172955920"/>
        <c:scaling>
          <c:orientation val="minMax"/>
        </c:scaling>
        <c:delete val="1"/>
        <c:axPos val="l"/>
        <c:numFmt formatCode="_(* #,##0.00_);_(* \(#,##0.00\);_(* &quot;-&quot;??_);_(@_)" sourceLinked="1"/>
        <c:majorTickMark val="none"/>
        <c:minorTickMark val="none"/>
        <c:tickLblPos val="nextTo"/>
        <c:crossAx val="17295550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Analysis.xlsx]pivot table!month_profit</c:name>
    <c:fmtId val="3"/>
  </c:pivotSource>
  <c:chart>
    <c:title>
      <c:tx>
        <c:rich>
          <a:bodyPr rot="0" spcFirstLastPara="1" vertOverflow="ellipsis" vert="horz" wrap="square" anchor="ctr" anchorCtr="1"/>
          <a:lstStyle/>
          <a:p>
            <a:pPr>
              <a:defRPr sz="2800" b="1" i="0" u="none" strike="noStrike" kern="1200" baseline="0">
                <a:solidFill>
                  <a:schemeClr val="dk1">
                    <a:lumMod val="75000"/>
                    <a:lumOff val="25000"/>
                  </a:schemeClr>
                </a:solidFill>
                <a:latin typeface="+mn-lt"/>
                <a:ea typeface="+mn-ea"/>
                <a:cs typeface="+mn-cs"/>
              </a:defRPr>
            </a:pPr>
            <a:r>
              <a:rPr lang="en-US" sz="2800"/>
              <a:t>Profit By</a:t>
            </a:r>
            <a:r>
              <a:rPr lang="en-US" sz="2800" baseline="0"/>
              <a:t> Month</a:t>
            </a:r>
            <a:endParaRPr lang="en-US" sz="2800"/>
          </a:p>
        </c:rich>
      </c:tx>
      <c:layout>
        <c:manualLayout>
          <c:xMode val="edge"/>
          <c:yMode val="edge"/>
          <c:x val="0.43530369516396894"/>
          <c:y val="4.8051690256748915E-2"/>
        </c:manualLayout>
      </c:layout>
      <c:overlay val="0"/>
      <c:spPr>
        <a:noFill/>
        <a:ln>
          <a:noFill/>
        </a:ln>
        <a:effectLst/>
      </c:spPr>
      <c:txPr>
        <a:bodyPr rot="0" spcFirstLastPara="1" vertOverflow="ellipsis" vert="horz" wrap="square" anchor="ctr" anchorCtr="1"/>
        <a:lstStyle/>
        <a:p>
          <a:pPr>
            <a:defRPr sz="2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c:spPr>
        <c:marker>
          <c:symbol val="circle"/>
          <c:size val="17"/>
          <c:spPr>
            <a:solidFill>
              <a:schemeClr val="accent1"/>
            </a:solidFill>
            <a:ln>
              <a:noFill/>
            </a:ln>
            <a:effectLst/>
          </c:spPr>
        </c:marker>
      </c:pivotFmt>
      <c:pivotFmt>
        <c:idx val="4"/>
        <c:spPr>
          <a:ln w="31750" cap="rnd">
            <a:solidFill>
              <a:schemeClr val="accent1"/>
            </a:solidFill>
            <a:round/>
          </a:ln>
          <a:effectLst/>
        </c:spPr>
        <c:marker>
          <c:symbol val="circle"/>
          <c:size val="17"/>
          <c:spPr>
            <a:solidFill>
              <a:schemeClr val="accent1"/>
            </a:solidFill>
            <a:ln>
              <a:noFill/>
            </a:ln>
            <a:effectLst/>
          </c:spPr>
        </c:marker>
      </c:pivotFmt>
      <c:pivotFmt>
        <c:idx val="5"/>
        <c:spPr>
          <a:ln w="31750" cap="rnd">
            <a:solidFill>
              <a:schemeClr val="accent1"/>
            </a:solidFill>
            <a:round/>
          </a:ln>
          <a:effectLst/>
        </c:spPr>
        <c:marker>
          <c:symbol val="circle"/>
          <c:size val="17"/>
          <c:spPr>
            <a:solidFill>
              <a:schemeClr val="accent1"/>
            </a:solidFill>
            <a:ln>
              <a:noFill/>
            </a:ln>
            <a:effectLst/>
          </c:spPr>
        </c:marker>
      </c:pivotFmt>
      <c:pivotFmt>
        <c:idx val="6"/>
        <c:spPr>
          <a:ln w="31750" cap="rnd">
            <a:solidFill>
              <a:schemeClr val="accent1"/>
            </a:solidFill>
            <a:round/>
          </a:ln>
          <a:effectLst/>
        </c:spPr>
        <c:marker>
          <c:symbol val="circle"/>
          <c:size val="17"/>
          <c:spPr>
            <a:solidFill>
              <a:schemeClr val="accent1"/>
            </a:solidFill>
            <a:ln>
              <a:noFill/>
            </a:ln>
            <a:effectLst/>
          </c:spPr>
        </c:marker>
      </c:pivotFmt>
      <c:pivotFmt>
        <c:idx val="7"/>
        <c:spPr>
          <a:ln w="31750" cap="rnd">
            <a:solidFill>
              <a:schemeClr val="accent1"/>
            </a:solidFill>
            <a:round/>
          </a:ln>
          <a:effectLst/>
        </c:spPr>
        <c:marker>
          <c:symbol val="circle"/>
          <c:size val="17"/>
          <c:spPr>
            <a:solidFill>
              <a:schemeClr val="accent1"/>
            </a:solidFill>
            <a:ln>
              <a:noFill/>
            </a:ln>
            <a:effectLst/>
          </c:spPr>
        </c:marker>
      </c:pivotFmt>
      <c:pivotFmt>
        <c:idx val="8"/>
        <c:spPr>
          <a:ln w="31750" cap="rnd">
            <a:solidFill>
              <a:schemeClr val="accent1"/>
            </a:solidFill>
            <a:round/>
          </a:ln>
          <a:effectLst/>
        </c:spPr>
        <c:marker>
          <c:symbol val="circle"/>
          <c:size val="17"/>
          <c:spPr>
            <a:solidFill>
              <a:schemeClr val="accent1"/>
            </a:solidFill>
            <a:ln>
              <a:noFill/>
            </a:ln>
            <a:effectLst/>
          </c:spPr>
        </c:marker>
      </c:pivotFmt>
      <c:pivotFmt>
        <c:idx val="9"/>
        <c:spPr>
          <a:ln w="31750" cap="rnd">
            <a:solidFill>
              <a:schemeClr val="accent1"/>
            </a:solidFill>
            <a:round/>
          </a:ln>
          <a:effectLst/>
        </c:spPr>
        <c:marker>
          <c:symbol val="circle"/>
          <c:size val="17"/>
          <c:spPr>
            <a:solidFill>
              <a:schemeClr val="accent1"/>
            </a:solidFill>
            <a:ln>
              <a:noFill/>
            </a:ln>
            <a:effectLst/>
          </c:spPr>
        </c:marker>
      </c:pivotFmt>
      <c:pivotFmt>
        <c:idx val="10"/>
        <c:spPr>
          <a:ln w="31750" cap="rnd">
            <a:solidFill>
              <a:schemeClr val="accent1"/>
            </a:solidFill>
            <a:round/>
          </a:ln>
          <a:effectLst/>
        </c:spPr>
        <c:marker>
          <c:symbol val="circle"/>
          <c:size val="17"/>
          <c:spPr>
            <a:solidFill>
              <a:schemeClr val="accent1"/>
            </a:solidFill>
            <a:ln>
              <a:noFill/>
            </a:ln>
            <a:effectLst/>
          </c:spPr>
        </c:marker>
      </c:pivotFmt>
      <c:pivotFmt>
        <c:idx val="11"/>
        <c:spPr>
          <a:ln w="31750" cap="rnd">
            <a:solidFill>
              <a:schemeClr val="accent1"/>
            </a:solidFill>
            <a:round/>
          </a:ln>
          <a:effectLst/>
        </c:spPr>
        <c:marker>
          <c:symbol val="circle"/>
          <c:size val="17"/>
          <c:spPr>
            <a:solidFill>
              <a:schemeClr val="accent1"/>
            </a:solidFill>
            <a:ln>
              <a:noFill/>
            </a:ln>
            <a:effectLst/>
          </c:spPr>
        </c:marker>
      </c:pivotFmt>
      <c:pivotFmt>
        <c:idx val="12"/>
        <c:spPr>
          <a:ln w="31750" cap="rnd">
            <a:solidFill>
              <a:schemeClr val="accent1"/>
            </a:solidFill>
            <a:round/>
          </a:ln>
          <a:effectLst/>
        </c:spPr>
        <c:marker>
          <c:symbol val="circle"/>
          <c:size val="17"/>
          <c:spPr>
            <a:solidFill>
              <a:schemeClr val="accent1"/>
            </a:solidFill>
            <a:ln>
              <a:noFill/>
            </a:ln>
            <a:effectLst/>
          </c:spPr>
        </c:marker>
      </c:pivotFmt>
      <c:pivotFmt>
        <c:idx val="13"/>
        <c:spPr>
          <a:ln w="31750" cap="rnd">
            <a:solidFill>
              <a:schemeClr val="accent1"/>
            </a:solidFill>
            <a:round/>
          </a:ln>
          <a:effectLst/>
        </c:spPr>
        <c:marker>
          <c:symbol val="circle"/>
          <c:size val="17"/>
          <c:spPr>
            <a:solidFill>
              <a:schemeClr val="accent1"/>
            </a:solidFill>
            <a:ln>
              <a:noFill/>
            </a:ln>
            <a:effectLst/>
          </c:spPr>
        </c:marker>
      </c:pivotFmt>
      <c:pivotFmt>
        <c:idx val="14"/>
        <c:spPr>
          <a:ln w="31750" cap="rnd">
            <a:solidFill>
              <a:schemeClr val="accent1"/>
            </a:solidFill>
            <a:round/>
          </a:ln>
          <a:effectLst/>
        </c:spPr>
        <c:marker>
          <c:symbol val="circle"/>
          <c:size val="17"/>
          <c:spPr>
            <a:solidFill>
              <a:schemeClr val="accent1"/>
            </a:solidFill>
            <a:ln>
              <a:noFill/>
            </a:ln>
            <a:effectLst/>
          </c:spPr>
        </c:marker>
      </c:pivotFmt>
    </c:pivotFmts>
    <c:plotArea>
      <c:layout/>
      <c:lineChart>
        <c:grouping val="standard"/>
        <c:varyColors val="0"/>
        <c:ser>
          <c:idx val="0"/>
          <c:order val="0"/>
          <c:tx>
            <c:strRef>
              <c:f>'pivot table'!$R$6</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cat>
            <c:strRef>
              <c:f>'pivot table'!$Q$7:$Q$19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table'!$R$7:$R$19</c:f>
              <c:numCache>
                <c:formatCode>_(* #,##0.00_);_(* \(#,##0.00\);_(* "-"??_);_(@_)</c:formatCode>
                <c:ptCount val="12"/>
                <c:pt idx="0">
                  <c:v>1975481.67</c:v>
                </c:pt>
                <c:pt idx="1">
                  <c:v>1793557.15</c:v>
                </c:pt>
                <c:pt idx="2">
                  <c:v>1902916.51</c:v>
                </c:pt>
                <c:pt idx="3">
                  <c:v>1683847.38</c:v>
                </c:pt>
                <c:pt idx="4">
                  <c:v>1771697.92</c:v>
                </c:pt>
                <c:pt idx="5">
                  <c:v>1786861.93</c:v>
                </c:pt>
                <c:pt idx="6">
                  <c:v>1861490.32</c:v>
                </c:pt>
                <c:pt idx="7">
                  <c:v>1939597.46</c:v>
                </c:pt>
                <c:pt idx="8">
                  <c:v>2068878.03</c:v>
                </c:pt>
                <c:pt idx="9">
                  <c:v>1993659.68</c:v>
                </c:pt>
                <c:pt idx="10">
                  <c:v>1984068.12</c:v>
                </c:pt>
                <c:pt idx="11">
                  <c:v>2122357.11</c:v>
                </c:pt>
              </c:numCache>
            </c:numRef>
          </c:val>
          <c:smooth val="0"/>
          <c:extLst>
            <c:ext xmlns:c16="http://schemas.microsoft.com/office/drawing/2014/chart" uri="{C3380CC4-5D6E-409C-BE32-E72D297353CC}">
              <c16:uniqueId val="{0000000E-AD07-4CF5-9460-DEE8657DD3B0}"/>
            </c:ext>
          </c:extLst>
        </c:ser>
        <c:dLbls>
          <c:showLegendKey val="0"/>
          <c:showVal val="0"/>
          <c:showCatName val="0"/>
          <c:showSerName val="0"/>
          <c:showPercent val="0"/>
          <c:showBubbleSize val="0"/>
        </c:dLbls>
        <c:marker val="1"/>
        <c:smooth val="0"/>
        <c:axId val="1284384128"/>
        <c:axId val="1284379136"/>
      </c:lineChart>
      <c:catAx>
        <c:axId val="12843841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chemeClr val="tx1"/>
                </a:solidFill>
                <a:latin typeface="+mn-lt"/>
                <a:ea typeface="+mn-ea"/>
                <a:cs typeface="+mn-cs"/>
              </a:defRPr>
            </a:pPr>
            <a:endParaRPr lang="en-US"/>
          </a:p>
        </c:txPr>
        <c:crossAx val="1284379136"/>
        <c:crosses val="autoZero"/>
        <c:auto val="1"/>
        <c:lblAlgn val="ctr"/>
        <c:lblOffset val="100"/>
        <c:noMultiLvlLbl val="0"/>
      </c:catAx>
      <c:valAx>
        <c:axId val="1284379136"/>
        <c:scaling>
          <c:orientation val="minMax"/>
        </c:scaling>
        <c:delete val="1"/>
        <c:axPos val="l"/>
        <c:numFmt formatCode="_(* #,##0.00_);_(* \(#,##0.00\);_(* &quot;-&quot;??_);_(@_)" sourceLinked="1"/>
        <c:majorTickMark val="none"/>
        <c:minorTickMark val="none"/>
        <c:tickLblPos val="nextTo"/>
        <c:crossAx val="1284384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Analysis.xlsx]pivot table!product_total_price</c:name>
    <c:fmtId val="3"/>
  </c:pivotSource>
  <c:chart>
    <c:title>
      <c:tx>
        <c:rich>
          <a:bodyPr rot="0" spcFirstLastPara="1" vertOverflow="ellipsis" vert="horz" wrap="square" anchor="ctr" anchorCtr="1"/>
          <a:lstStyle/>
          <a:p>
            <a:pPr>
              <a:defRPr sz="2800" b="1" i="0" u="none" strike="noStrike" kern="1200" baseline="0">
                <a:solidFill>
                  <a:schemeClr val="dk1">
                    <a:lumMod val="75000"/>
                    <a:lumOff val="25000"/>
                  </a:schemeClr>
                </a:solidFill>
                <a:latin typeface="+mn-lt"/>
                <a:ea typeface="+mn-ea"/>
                <a:cs typeface="+mn-cs"/>
              </a:defRPr>
            </a:pPr>
            <a:r>
              <a:rPr lang="en-US" sz="2800"/>
              <a:t>Sales By Product</a:t>
            </a:r>
          </a:p>
        </c:rich>
      </c:tx>
      <c:layout>
        <c:manualLayout>
          <c:xMode val="edge"/>
          <c:yMode val="edge"/>
          <c:x val="0.44126032159930467"/>
          <c:y val="5.6092988376452942E-2"/>
        </c:manualLayout>
      </c:layout>
      <c:overlay val="0"/>
      <c:spPr>
        <a:noFill/>
        <a:ln>
          <a:noFill/>
        </a:ln>
        <a:effectLst/>
      </c:spPr>
      <c:txPr>
        <a:bodyPr rot="0" spcFirstLastPara="1" vertOverflow="ellipsis" vert="horz" wrap="square" anchor="ctr" anchorCtr="1"/>
        <a:lstStyle/>
        <a:p>
          <a:pPr>
            <a:defRPr sz="2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table'!$D$11:$D$21</c:f>
              <c:strCache>
                <c:ptCount val="10"/>
                <c:pt idx="0">
                  <c:v>Smartphone</c:v>
                </c:pt>
                <c:pt idx="1">
                  <c:v>Mouse</c:v>
                </c:pt>
                <c:pt idx="2">
                  <c:v>Headphones</c:v>
                </c:pt>
                <c:pt idx="3">
                  <c:v>Printer</c:v>
                </c:pt>
                <c:pt idx="4">
                  <c:v>Charger</c:v>
                </c:pt>
                <c:pt idx="5">
                  <c:v>Tablet</c:v>
                </c:pt>
                <c:pt idx="6">
                  <c:v>Monitor</c:v>
                </c:pt>
                <c:pt idx="7">
                  <c:v>Camera</c:v>
                </c:pt>
                <c:pt idx="8">
                  <c:v>Keyboard</c:v>
                </c:pt>
                <c:pt idx="9">
                  <c:v>Laptop</c:v>
                </c:pt>
              </c:strCache>
            </c:strRef>
          </c:cat>
          <c:val>
            <c:numRef>
              <c:f>'pivot table'!$E$11:$E$21</c:f>
              <c:numCache>
                <c:formatCode>_(* #,##0.00_);_(* \(#,##0.00\);_(* "-"??_);_(@_)</c:formatCode>
                <c:ptCount val="10"/>
                <c:pt idx="0">
                  <c:v>12267101.219999999</c:v>
                </c:pt>
                <c:pt idx="1">
                  <c:v>12053397.899999999</c:v>
                </c:pt>
                <c:pt idx="2">
                  <c:v>11669575.620000001</c:v>
                </c:pt>
                <c:pt idx="3">
                  <c:v>11328447.479999993</c:v>
                </c:pt>
                <c:pt idx="4">
                  <c:v>11293398.729999999</c:v>
                </c:pt>
                <c:pt idx="5">
                  <c:v>10851847.43</c:v>
                </c:pt>
                <c:pt idx="6">
                  <c:v>10706649</c:v>
                </c:pt>
                <c:pt idx="7">
                  <c:v>10627214.729999999</c:v>
                </c:pt>
                <c:pt idx="8">
                  <c:v>10247920.250000002</c:v>
                </c:pt>
                <c:pt idx="9">
                  <c:v>10151483.699999999</c:v>
                </c:pt>
              </c:numCache>
            </c:numRef>
          </c:val>
          <c:extLst>
            <c:ext xmlns:c16="http://schemas.microsoft.com/office/drawing/2014/chart" uri="{C3380CC4-5D6E-409C-BE32-E72D297353CC}">
              <c16:uniqueId val="{00000002-4768-43C5-8B71-3F735AC3BE1D}"/>
            </c:ext>
          </c:extLst>
        </c:ser>
        <c:dLbls>
          <c:showLegendKey val="0"/>
          <c:showVal val="0"/>
          <c:showCatName val="0"/>
          <c:showSerName val="0"/>
          <c:showPercent val="0"/>
          <c:showBubbleSize val="0"/>
        </c:dLbls>
        <c:gapWidth val="150"/>
        <c:axId val="1631071648"/>
        <c:axId val="1631072896"/>
      </c:barChart>
      <c:catAx>
        <c:axId val="163107164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tx1"/>
                </a:solidFill>
                <a:latin typeface="+mn-lt"/>
                <a:ea typeface="+mn-ea"/>
                <a:cs typeface="+mn-cs"/>
              </a:defRPr>
            </a:pPr>
            <a:endParaRPr lang="en-US"/>
          </a:p>
        </c:txPr>
        <c:crossAx val="1631072896"/>
        <c:crosses val="autoZero"/>
        <c:auto val="1"/>
        <c:lblAlgn val="ctr"/>
        <c:lblOffset val="100"/>
        <c:noMultiLvlLbl val="0"/>
      </c:catAx>
      <c:valAx>
        <c:axId val="1631072896"/>
        <c:scaling>
          <c:orientation val="minMax"/>
        </c:scaling>
        <c:delete val="1"/>
        <c:axPos val="b"/>
        <c:numFmt formatCode="_(* #,##0.00_);_(* \(#,##0.00\);_(* &quot;-&quot;??_);_(@_)" sourceLinked="1"/>
        <c:majorTickMark val="none"/>
        <c:minorTickMark val="none"/>
        <c:tickLblPos val="nextTo"/>
        <c:crossAx val="1631071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paperSize="8"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png"/><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10</xdr:col>
      <xdr:colOff>131606</xdr:colOff>
      <xdr:row>5</xdr:row>
      <xdr:rowOff>69272</xdr:rowOff>
    </xdr:from>
    <xdr:to>
      <xdr:col>16</xdr:col>
      <xdr:colOff>471054</xdr:colOff>
      <xdr:row>12</xdr:row>
      <xdr:rowOff>124973</xdr:rowOff>
    </xdr:to>
    <xdr:grpSp>
      <xdr:nvGrpSpPr>
        <xdr:cNvPr id="11" name="Group 10">
          <a:extLst>
            <a:ext uri="{FF2B5EF4-FFF2-40B4-BE49-F238E27FC236}">
              <a16:creationId xmlns:a16="http://schemas.microsoft.com/office/drawing/2014/main" id="{DB360C80-8BB7-4972-8F2A-F859BB8299C5}"/>
            </a:ext>
          </a:extLst>
        </xdr:cNvPr>
        <xdr:cNvGrpSpPr/>
      </xdr:nvGrpSpPr>
      <xdr:grpSpPr>
        <a:xfrm>
          <a:off x="6182782" y="965743"/>
          <a:ext cx="3970154" cy="1310759"/>
          <a:chOff x="2281752" y="701040"/>
          <a:chExt cx="2837899" cy="739140"/>
        </a:xfrm>
      </xdr:grpSpPr>
      <xdr:sp macro="" textlink="">
        <xdr:nvSpPr>
          <xdr:cNvPr id="3" name="Rectangle: Rounded Corners 2">
            <a:extLst>
              <a:ext uri="{FF2B5EF4-FFF2-40B4-BE49-F238E27FC236}">
                <a16:creationId xmlns:a16="http://schemas.microsoft.com/office/drawing/2014/main" id="{2BC6B46B-7278-494C-AFB1-D8B73BDAA568}"/>
              </a:ext>
            </a:extLst>
          </xdr:cNvPr>
          <xdr:cNvSpPr/>
        </xdr:nvSpPr>
        <xdr:spPr>
          <a:xfrm>
            <a:off x="2281752" y="701040"/>
            <a:ext cx="2545080" cy="73914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4000" b="1">
                <a:solidFill>
                  <a:srgbClr val="002060"/>
                </a:solidFill>
                <a:latin typeface="+mn-lt"/>
                <a:ea typeface="+mn-ea"/>
                <a:cs typeface="+mn-cs"/>
              </a:rPr>
              <a:t>Total</a:t>
            </a:r>
            <a:r>
              <a:rPr lang="en-US" sz="4000" b="1">
                <a:solidFill>
                  <a:srgbClr val="002060"/>
                </a:solidFill>
              </a:rPr>
              <a:t> Sales</a:t>
            </a:r>
            <a:endParaRPr lang="ar-EG" sz="4000" b="1">
              <a:solidFill>
                <a:srgbClr val="002060"/>
              </a:solidFill>
            </a:endParaRPr>
          </a:p>
          <a:p>
            <a:pPr algn="ctr"/>
            <a:endParaRPr lang="en-US" sz="1800" b="1"/>
          </a:p>
        </xdr:txBody>
      </xdr:sp>
      <xdr:sp macro="" textlink="'pivot table'!$B$5">
        <xdr:nvSpPr>
          <xdr:cNvPr id="8" name="Rectangle: Rounded Corners 7">
            <a:extLst>
              <a:ext uri="{FF2B5EF4-FFF2-40B4-BE49-F238E27FC236}">
                <a16:creationId xmlns:a16="http://schemas.microsoft.com/office/drawing/2014/main" id="{0AC49E12-BD25-4831-9F58-876314F60B88}"/>
              </a:ext>
            </a:extLst>
          </xdr:cNvPr>
          <xdr:cNvSpPr/>
        </xdr:nvSpPr>
        <xdr:spPr>
          <a:xfrm>
            <a:off x="2847500" y="997742"/>
            <a:ext cx="2272151" cy="403386"/>
          </a:xfrm>
          <a:prstGeom prst="roundRect">
            <a:avLst/>
          </a:prstGeom>
          <a:noFill/>
          <a:ln>
            <a:noFill/>
          </a:ln>
        </xdr:spPr>
        <xdr:style>
          <a:lnRef idx="2">
            <a:schemeClr val="accent1">
              <a:shade val="50000"/>
            </a:schemeClr>
          </a:lnRef>
          <a:fillRef idx="1001">
            <a:schemeClr val="lt1"/>
          </a:fillRef>
          <a:effectRef idx="0">
            <a:schemeClr val="accent1"/>
          </a:effectRef>
          <a:fontRef idx="minor">
            <a:schemeClr val="lt1"/>
          </a:fontRef>
        </xdr:style>
        <xdr:txBody>
          <a:bodyPr vertOverflow="clip" horzOverflow="clip" rtlCol="0" anchor="t"/>
          <a:lstStyle/>
          <a:p>
            <a:pPr algn="l"/>
            <a:fld id="{AF82F0D3-E823-4EAA-B147-EA6ED4019F96}" type="TxLink">
              <a:rPr lang="en-US" sz="4400" b="1" i="0" u="none" strike="noStrike">
                <a:solidFill>
                  <a:srgbClr val="000000"/>
                </a:solidFill>
                <a:latin typeface="Calibri"/>
                <a:ea typeface="Calibri"/>
                <a:cs typeface="Calibri"/>
              </a:rPr>
              <a:pPr algn="l"/>
              <a:t>111.2M</a:t>
            </a:fld>
            <a:endParaRPr lang="en-US" sz="4400"/>
          </a:p>
        </xdr:txBody>
      </xdr:sp>
    </xdr:grpSp>
    <xdr:clientData/>
  </xdr:twoCellAnchor>
  <xdr:twoCellAnchor>
    <xdr:from>
      <xdr:col>16</xdr:col>
      <xdr:colOff>152397</xdr:colOff>
      <xdr:row>5</xdr:row>
      <xdr:rowOff>55418</xdr:rowOff>
    </xdr:from>
    <xdr:to>
      <xdr:col>23</xdr:col>
      <xdr:colOff>263237</xdr:colOff>
      <xdr:row>12</xdr:row>
      <xdr:rowOff>96983</xdr:rowOff>
    </xdr:to>
    <xdr:sp macro="" textlink="">
      <xdr:nvSpPr>
        <xdr:cNvPr id="4" name="Rectangle: Rounded Corners 3">
          <a:extLst>
            <a:ext uri="{FF2B5EF4-FFF2-40B4-BE49-F238E27FC236}">
              <a16:creationId xmlns:a16="http://schemas.microsoft.com/office/drawing/2014/main" id="{6D0BC41F-B368-4DA0-8E5D-9DFB60AE3C5D}"/>
            </a:ext>
          </a:extLst>
        </xdr:cNvPr>
        <xdr:cNvSpPr/>
      </xdr:nvSpPr>
      <xdr:spPr>
        <a:xfrm>
          <a:off x="9905997" y="955963"/>
          <a:ext cx="4378040" cy="130232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4000" b="1">
              <a:solidFill>
                <a:srgbClr val="002060"/>
              </a:solidFill>
              <a:latin typeface="+mn-lt"/>
              <a:ea typeface="+mn-ea"/>
              <a:cs typeface="+mn-cs"/>
            </a:rPr>
            <a:t>Total Profit</a:t>
          </a:r>
        </a:p>
      </xdr:txBody>
    </xdr:sp>
    <xdr:clientData/>
  </xdr:twoCellAnchor>
  <xdr:twoCellAnchor>
    <xdr:from>
      <xdr:col>23</xdr:col>
      <xdr:colOff>374068</xdr:colOff>
      <xdr:row>5</xdr:row>
      <xdr:rowOff>55422</xdr:rowOff>
    </xdr:from>
    <xdr:to>
      <xdr:col>31</xdr:col>
      <xdr:colOff>96982</xdr:colOff>
      <xdr:row>12</xdr:row>
      <xdr:rowOff>82978</xdr:rowOff>
    </xdr:to>
    <xdr:sp macro="" textlink="">
      <xdr:nvSpPr>
        <xdr:cNvPr id="5" name="Rectangle: Rounded Corners 4">
          <a:extLst>
            <a:ext uri="{FF2B5EF4-FFF2-40B4-BE49-F238E27FC236}">
              <a16:creationId xmlns:a16="http://schemas.microsoft.com/office/drawing/2014/main" id="{A2352B67-98A8-4648-B83C-F0FEE222A813}"/>
            </a:ext>
          </a:extLst>
        </xdr:cNvPr>
        <xdr:cNvSpPr/>
      </xdr:nvSpPr>
      <xdr:spPr>
        <a:xfrm>
          <a:off x="14394868" y="955967"/>
          <a:ext cx="4599714" cy="128832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4000" b="1">
              <a:solidFill>
                <a:srgbClr val="002060"/>
              </a:solidFill>
              <a:latin typeface="+mn-lt"/>
              <a:ea typeface="+mn-ea"/>
              <a:cs typeface="+mn-cs"/>
            </a:rPr>
            <a:t>Total Orders</a:t>
          </a:r>
        </a:p>
      </xdr:txBody>
    </xdr:sp>
    <xdr:clientData/>
  </xdr:twoCellAnchor>
  <xdr:twoCellAnchor>
    <xdr:from>
      <xdr:col>17</xdr:col>
      <xdr:colOff>380664</xdr:colOff>
      <xdr:row>8</xdr:row>
      <xdr:rowOff>69918</xdr:rowOff>
    </xdr:from>
    <xdr:to>
      <xdr:col>22</xdr:col>
      <xdr:colOff>219078</xdr:colOff>
      <xdr:row>12</xdr:row>
      <xdr:rowOff>55420</xdr:rowOff>
    </xdr:to>
    <xdr:sp macro="" textlink="'pivot table'!$F$5">
      <xdr:nvSpPr>
        <xdr:cNvPr id="10" name="Rectangle: Rounded Corners 9">
          <a:extLst>
            <a:ext uri="{FF2B5EF4-FFF2-40B4-BE49-F238E27FC236}">
              <a16:creationId xmlns:a16="http://schemas.microsoft.com/office/drawing/2014/main" id="{34A5BD1B-FF9C-43A3-A949-1CDE39CD68CA}"/>
            </a:ext>
          </a:extLst>
        </xdr:cNvPr>
        <xdr:cNvSpPr/>
      </xdr:nvSpPr>
      <xdr:spPr>
        <a:xfrm>
          <a:off x="10743864" y="1510791"/>
          <a:ext cx="2886414" cy="705938"/>
        </a:xfrm>
        <a:prstGeom prst="roundRect">
          <a:avLst/>
        </a:prstGeom>
        <a:noFill/>
        <a:ln>
          <a:noFill/>
        </a:ln>
      </xdr:spPr>
      <xdr:style>
        <a:lnRef idx="2">
          <a:schemeClr val="accent1">
            <a:shade val="50000"/>
          </a:schemeClr>
        </a:lnRef>
        <a:fillRef idx="1001">
          <a:schemeClr val="lt1"/>
        </a:fillRef>
        <a:effectRef idx="0">
          <a:schemeClr val="accent1"/>
        </a:effectRef>
        <a:fontRef idx="minor">
          <a:schemeClr val="lt1"/>
        </a:fontRef>
      </xdr:style>
      <xdr:txBody>
        <a:bodyPr vertOverflow="clip" horzOverflow="clip" rtlCol="0" anchor="ctr"/>
        <a:lstStyle/>
        <a:p>
          <a:pPr algn="ctr"/>
          <a:fld id="{F98E19C1-A90C-4A5E-B025-15D40E69B7B3}" type="TxLink">
            <a:rPr lang="en-US" sz="4400" b="1" i="0" u="none" strike="noStrike">
              <a:solidFill>
                <a:srgbClr val="000000"/>
              </a:solidFill>
              <a:latin typeface="Calibri"/>
              <a:ea typeface="Calibri"/>
              <a:cs typeface="Calibri"/>
            </a:rPr>
            <a:pPr algn="ctr"/>
            <a:t>22.9M</a:t>
          </a:fld>
          <a:endParaRPr lang="en-US" sz="4400" b="1"/>
        </a:p>
      </xdr:txBody>
    </xdr:sp>
    <xdr:clientData/>
  </xdr:twoCellAnchor>
  <xdr:twoCellAnchor>
    <xdr:from>
      <xdr:col>9</xdr:col>
      <xdr:colOff>354105</xdr:colOff>
      <xdr:row>32</xdr:row>
      <xdr:rowOff>102080</xdr:rowOff>
    </xdr:from>
    <xdr:to>
      <xdr:col>23</xdr:col>
      <xdr:colOff>490409</xdr:colOff>
      <xdr:row>47</xdr:row>
      <xdr:rowOff>102080</xdr:rowOff>
    </xdr:to>
    <xdr:graphicFrame macro="">
      <xdr:nvGraphicFramePr>
        <xdr:cNvPr id="15" name="Chart 14">
          <a:extLst>
            <a:ext uri="{FF2B5EF4-FFF2-40B4-BE49-F238E27FC236}">
              <a16:creationId xmlns:a16="http://schemas.microsoft.com/office/drawing/2014/main" id="{F1B9A303-7235-454D-B57D-EFB298887B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257602</xdr:colOff>
      <xdr:row>32</xdr:row>
      <xdr:rowOff>124151</xdr:rowOff>
    </xdr:from>
    <xdr:to>
      <xdr:col>38</xdr:col>
      <xdr:colOff>503146</xdr:colOff>
      <xdr:row>47</xdr:row>
      <xdr:rowOff>93080</xdr:rowOff>
    </xdr:to>
    <xdr:graphicFrame macro="">
      <xdr:nvGraphicFramePr>
        <xdr:cNvPr id="16" name="Chart 15">
          <a:extLst>
            <a:ext uri="{FF2B5EF4-FFF2-40B4-BE49-F238E27FC236}">
              <a16:creationId xmlns:a16="http://schemas.microsoft.com/office/drawing/2014/main" id="{98A49AB0-677E-40D0-B33D-662D85C0B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327211</xdr:colOff>
      <xdr:row>49</xdr:row>
      <xdr:rowOff>36009</xdr:rowOff>
    </xdr:from>
    <xdr:to>
      <xdr:col>23</xdr:col>
      <xdr:colOff>454045</xdr:colOff>
      <xdr:row>64</xdr:row>
      <xdr:rowOff>4936</xdr:rowOff>
    </xdr:to>
    <xdr:graphicFrame macro="">
      <xdr:nvGraphicFramePr>
        <xdr:cNvPr id="17" name="Chart 16">
          <a:extLst>
            <a:ext uri="{FF2B5EF4-FFF2-40B4-BE49-F238E27FC236}">
              <a16:creationId xmlns:a16="http://schemas.microsoft.com/office/drawing/2014/main" id="{E1CAFB22-6ED1-4AFB-94C9-1B5F0D263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211326</xdr:colOff>
      <xdr:row>49</xdr:row>
      <xdr:rowOff>29883</xdr:rowOff>
    </xdr:from>
    <xdr:to>
      <xdr:col>38</xdr:col>
      <xdr:colOff>502025</xdr:colOff>
      <xdr:row>64</xdr:row>
      <xdr:rowOff>25550</xdr:rowOff>
    </xdr:to>
    <xdr:graphicFrame macro="">
      <xdr:nvGraphicFramePr>
        <xdr:cNvPr id="18" name="Chart 17">
          <a:extLst>
            <a:ext uri="{FF2B5EF4-FFF2-40B4-BE49-F238E27FC236}">
              <a16:creationId xmlns:a16="http://schemas.microsoft.com/office/drawing/2014/main" id="{48EA6BD2-5A3C-4532-A595-773BCEA84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394446</xdr:colOff>
      <xdr:row>13</xdr:row>
      <xdr:rowOff>165846</xdr:rowOff>
    </xdr:from>
    <xdr:to>
      <xdr:col>23</xdr:col>
      <xdr:colOff>539409</xdr:colOff>
      <xdr:row>31</xdr:row>
      <xdr:rowOff>49305</xdr:rowOff>
    </xdr:to>
    <xdr:graphicFrame macro="">
      <xdr:nvGraphicFramePr>
        <xdr:cNvPr id="19" name="Chart 18">
          <a:extLst>
            <a:ext uri="{FF2B5EF4-FFF2-40B4-BE49-F238E27FC236}">
              <a16:creationId xmlns:a16="http://schemas.microsoft.com/office/drawing/2014/main" id="{F41E2CB8-E044-493B-B0CE-983EBD4D5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300916</xdr:colOff>
      <xdr:row>13</xdr:row>
      <xdr:rowOff>153683</xdr:rowOff>
    </xdr:from>
    <xdr:to>
      <xdr:col>38</xdr:col>
      <xdr:colOff>518631</xdr:colOff>
      <xdr:row>31</xdr:row>
      <xdr:rowOff>39702</xdr:rowOff>
    </xdr:to>
    <xdr:graphicFrame macro="">
      <xdr:nvGraphicFramePr>
        <xdr:cNvPr id="20" name="Chart 19">
          <a:extLst>
            <a:ext uri="{FF2B5EF4-FFF2-40B4-BE49-F238E27FC236}">
              <a16:creationId xmlns:a16="http://schemas.microsoft.com/office/drawing/2014/main" id="{886B59F2-C1EF-45FF-B160-026152E1A2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166259</xdr:colOff>
      <xdr:row>29</xdr:row>
      <xdr:rowOff>38435</xdr:rowOff>
    </xdr:from>
    <xdr:to>
      <xdr:col>9</xdr:col>
      <xdr:colOff>154136</xdr:colOff>
      <xdr:row>34</xdr:row>
      <xdr:rowOff>27710</xdr:rowOff>
    </xdr:to>
    <mc:AlternateContent xmlns:mc="http://schemas.openxmlformats.org/markup-compatibility/2006" xmlns:a14="http://schemas.microsoft.com/office/drawing/2010/main">
      <mc:Choice Requires="a14">
        <xdr:graphicFrame macro="">
          <xdr:nvGraphicFramePr>
            <xdr:cNvPr id="21" name="Category">
              <a:extLst>
                <a:ext uri="{FF2B5EF4-FFF2-40B4-BE49-F238E27FC236}">
                  <a16:creationId xmlns:a16="http://schemas.microsoft.com/office/drawing/2014/main" id="{5C1E3525-432B-42AC-B383-04EF5C0A95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81612" y="5237964"/>
              <a:ext cx="3618583" cy="8857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138546</xdr:colOff>
      <xdr:row>20</xdr:row>
      <xdr:rowOff>88933</xdr:rowOff>
    </xdr:from>
    <xdr:to>
      <xdr:col>9</xdr:col>
      <xdr:colOff>221673</xdr:colOff>
      <xdr:row>28</xdr:row>
      <xdr:rowOff>124689</xdr:rowOff>
    </xdr:to>
    <mc:AlternateContent xmlns:mc="http://schemas.openxmlformats.org/markup-compatibility/2006" xmlns:a14="http://schemas.microsoft.com/office/drawing/2010/main">
      <mc:Choice Requires="a14">
        <xdr:graphicFrame macro="">
          <xdr:nvGraphicFramePr>
            <xdr:cNvPr id="22" name="Country">
              <a:extLst>
                <a:ext uri="{FF2B5EF4-FFF2-40B4-BE49-F238E27FC236}">
                  <a16:creationId xmlns:a16="http://schemas.microsoft.com/office/drawing/2014/main" id="{1481526A-3658-488D-832D-2D0407D0B4E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953899" y="3674815"/>
              <a:ext cx="3713833" cy="14701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152648</xdr:colOff>
      <xdr:row>8</xdr:row>
      <xdr:rowOff>166554</xdr:rowOff>
    </xdr:from>
    <xdr:to>
      <xdr:col>9</xdr:col>
      <xdr:colOff>253341</xdr:colOff>
      <xdr:row>19</xdr:row>
      <xdr:rowOff>163286</xdr:rowOff>
    </xdr:to>
    <mc:AlternateContent xmlns:mc="http://schemas.openxmlformats.org/markup-compatibility/2006" xmlns:a14="http://schemas.microsoft.com/office/drawing/2010/main">
      <mc:Choice Requires="a14">
        <xdr:graphicFrame macro="">
          <xdr:nvGraphicFramePr>
            <xdr:cNvPr id="23" name="Date (Month)">
              <a:extLst>
                <a:ext uri="{FF2B5EF4-FFF2-40B4-BE49-F238E27FC236}">
                  <a16:creationId xmlns:a16="http://schemas.microsoft.com/office/drawing/2014/main" id="{E0593048-66AF-450D-8FF1-CAC1F39A0F99}"/>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968001" y="1600907"/>
              <a:ext cx="3731399" cy="19689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193964</xdr:colOff>
      <xdr:row>34</xdr:row>
      <xdr:rowOff>128403</xdr:rowOff>
    </xdr:from>
    <xdr:to>
      <xdr:col>9</xdr:col>
      <xdr:colOff>152400</xdr:colOff>
      <xdr:row>44</xdr:row>
      <xdr:rowOff>55418</xdr:rowOff>
    </xdr:to>
    <mc:AlternateContent xmlns:mc="http://schemas.openxmlformats.org/markup-compatibility/2006" xmlns:a14="http://schemas.microsoft.com/office/drawing/2010/main">
      <mc:Choice Requires="a14">
        <xdr:graphicFrame macro="">
          <xdr:nvGraphicFramePr>
            <xdr:cNvPr id="24" name="Product">
              <a:extLst>
                <a:ext uri="{FF2B5EF4-FFF2-40B4-BE49-F238E27FC236}">
                  <a16:creationId xmlns:a16="http://schemas.microsoft.com/office/drawing/2014/main" id="{6DD7747E-C0AB-4AA6-93FB-F9DA0E331CC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009317" y="6224403"/>
              <a:ext cx="3589142" cy="17199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394447</xdr:colOff>
      <xdr:row>65</xdr:row>
      <xdr:rowOff>52061</xdr:rowOff>
    </xdr:from>
    <xdr:to>
      <xdr:col>38</xdr:col>
      <xdr:colOff>340659</xdr:colOff>
      <xdr:row>80</xdr:row>
      <xdr:rowOff>74575</xdr:rowOff>
    </xdr:to>
    <xdr:graphicFrame macro="">
      <xdr:nvGraphicFramePr>
        <xdr:cNvPr id="25" name="Chart 24">
          <a:extLst>
            <a:ext uri="{FF2B5EF4-FFF2-40B4-BE49-F238E27FC236}">
              <a16:creationId xmlns:a16="http://schemas.microsoft.com/office/drawing/2014/main" id="{30E1D78A-DF10-4F2E-AD37-95E36DD45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23</xdr:col>
      <xdr:colOff>512619</xdr:colOff>
      <xdr:row>6</xdr:row>
      <xdr:rowOff>138545</xdr:rowOff>
    </xdr:from>
    <xdr:to>
      <xdr:col>25</xdr:col>
      <xdr:colOff>61497</xdr:colOff>
      <xdr:row>10</xdr:row>
      <xdr:rowOff>164703</xdr:rowOff>
    </xdr:to>
    <xdr:pic>
      <xdr:nvPicPr>
        <xdr:cNvPr id="29" name="Picture 28">
          <a:extLst>
            <a:ext uri="{FF2B5EF4-FFF2-40B4-BE49-F238E27FC236}">
              <a16:creationId xmlns:a16="http://schemas.microsoft.com/office/drawing/2014/main" id="{5F6B9927-CD4E-4626-8D6B-A73152AD0F5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4533419" y="1281545"/>
          <a:ext cx="768078" cy="788158"/>
        </a:xfrm>
        <a:prstGeom prst="rect">
          <a:avLst/>
        </a:prstGeom>
      </xdr:spPr>
    </xdr:pic>
    <xdr:clientData/>
  </xdr:twoCellAnchor>
  <xdr:twoCellAnchor>
    <xdr:from>
      <xdr:col>31</xdr:col>
      <xdr:colOff>166163</xdr:colOff>
      <xdr:row>5</xdr:row>
      <xdr:rowOff>41565</xdr:rowOff>
    </xdr:from>
    <xdr:to>
      <xdr:col>38</xdr:col>
      <xdr:colOff>581897</xdr:colOff>
      <xdr:row>12</xdr:row>
      <xdr:rowOff>69273</xdr:rowOff>
    </xdr:to>
    <xdr:grpSp>
      <xdr:nvGrpSpPr>
        <xdr:cNvPr id="32" name="Group 31">
          <a:extLst>
            <a:ext uri="{FF2B5EF4-FFF2-40B4-BE49-F238E27FC236}">
              <a16:creationId xmlns:a16="http://schemas.microsoft.com/office/drawing/2014/main" id="{140C1325-D06E-45A1-BC6F-F5377B9634D5}"/>
            </a:ext>
          </a:extLst>
        </xdr:cNvPr>
        <xdr:cNvGrpSpPr/>
      </xdr:nvGrpSpPr>
      <xdr:grpSpPr>
        <a:xfrm>
          <a:off x="18924810" y="938036"/>
          <a:ext cx="4651558" cy="1282766"/>
          <a:chOff x="17179637" y="581891"/>
          <a:chExt cx="4384034" cy="872837"/>
        </a:xfrm>
      </xdr:grpSpPr>
      <xdr:grpSp>
        <xdr:nvGrpSpPr>
          <xdr:cNvPr id="30" name="Group 29">
            <a:extLst>
              <a:ext uri="{FF2B5EF4-FFF2-40B4-BE49-F238E27FC236}">
                <a16:creationId xmlns:a16="http://schemas.microsoft.com/office/drawing/2014/main" id="{E77D063C-C3F5-4BE1-B9A5-1FFA361EE174}"/>
              </a:ext>
            </a:extLst>
          </xdr:cNvPr>
          <xdr:cNvGrpSpPr/>
        </xdr:nvGrpSpPr>
        <xdr:grpSpPr>
          <a:xfrm>
            <a:off x="17179637" y="581891"/>
            <a:ext cx="4384034" cy="872837"/>
            <a:chOff x="18307789" y="715191"/>
            <a:chExt cx="3523097" cy="765266"/>
          </a:xfrm>
        </xdr:grpSpPr>
        <xdr:sp macro="" textlink="">
          <xdr:nvSpPr>
            <xdr:cNvPr id="6" name="Rectangle: Rounded Corners 5">
              <a:extLst>
                <a:ext uri="{FF2B5EF4-FFF2-40B4-BE49-F238E27FC236}">
                  <a16:creationId xmlns:a16="http://schemas.microsoft.com/office/drawing/2014/main" id="{CFED3AE1-5380-43DB-88E9-8AB3ECB87D01}"/>
                </a:ext>
              </a:extLst>
            </xdr:cNvPr>
            <xdr:cNvSpPr/>
          </xdr:nvSpPr>
          <xdr:spPr>
            <a:xfrm>
              <a:off x="18307789" y="715191"/>
              <a:ext cx="3523097" cy="765266"/>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r>
                <a:rPr lang="en-US" sz="3200" b="1">
                  <a:solidFill>
                    <a:srgbClr val="002060"/>
                  </a:solidFill>
                  <a:latin typeface="+mn-lt"/>
                  <a:ea typeface="+mn-ea"/>
                  <a:cs typeface="+mn-cs"/>
                </a:rPr>
                <a:t>Average Order value</a:t>
              </a:r>
            </a:p>
          </xdr:txBody>
        </xdr:sp>
        <xdr:sp macro="" textlink="'pivot table'!$B$10">
          <xdr:nvSpPr>
            <xdr:cNvPr id="14" name="Rectangle: Rounded Corners 13">
              <a:extLst>
                <a:ext uri="{FF2B5EF4-FFF2-40B4-BE49-F238E27FC236}">
                  <a16:creationId xmlns:a16="http://schemas.microsoft.com/office/drawing/2014/main" id="{E3B09293-B4EF-4E4C-AD62-2548877D301B}"/>
                </a:ext>
              </a:extLst>
            </xdr:cNvPr>
            <xdr:cNvSpPr/>
          </xdr:nvSpPr>
          <xdr:spPr>
            <a:xfrm>
              <a:off x="19074197" y="1075642"/>
              <a:ext cx="2057400" cy="346940"/>
            </a:xfrm>
            <a:prstGeom prst="roundRect">
              <a:avLst/>
            </a:prstGeom>
            <a:noFill/>
            <a:ln>
              <a:noFill/>
            </a:ln>
          </xdr:spPr>
          <xdr:style>
            <a:lnRef idx="2">
              <a:schemeClr val="accent1">
                <a:shade val="50000"/>
              </a:schemeClr>
            </a:lnRef>
            <a:fillRef idx="1001">
              <a:schemeClr val="lt1"/>
            </a:fillRef>
            <a:effectRef idx="0">
              <a:schemeClr val="accent1"/>
            </a:effectRef>
            <a:fontRef idx="minor">
              <a:schemeClr val="lt1"/>
            </a:fontRef>
          </xdr:style>
          <xdr:txBody>
            <a:bodyPr vertOverflow="clip" horzOverflow="clip" rtlCol="0" anchor="ctr"/>
            <a:lstStyle/>
            <a:p>
              <a:pPr algn="ctr"/>
              <a:fld id="{262DE03A-E303-49AA-A24D-E4BB896BAB79}" type="TxLink">
                <a:rPr lang="en-US" sz="4400" b="1" i="0" u="none" strike="noStrike">
                  <a:solidFill>
                    <a:srgbClr val="000000"/>
                  </a:solidFill>
                  <a:latin typeface="Calibri"/>
                  <a:ea typeface="Calibri"/>
                  <a:cs typeface="Calibri"/>
                </a:rPr>
                <a:pPr algn="ctr"/>
                <a:t>37.1K</a:t>
              </a:fld>
              <a:endParaRPr lang="en-US" sz="4400" b="1"/>
            </a:p>
          </xdr:txBody>
        </xdr:sp>
      </xdr:grpSp>
      <xdr:pic>
        <xdr:nvPicPr>
          <xdr:cNvPr id="31" name="Picture 30">
            <a:extLst>
              <a:ext uri="{FF2B5EF4-FFF2-40B4-BE49-F238E27FC236}">
                <a16:creationId xmlns:a16="http://schemas.microsoft.com/office/drawing/2014/main" id="{EC332064-A500-4667-8813-81F08FD90FC2}"/>
              </a:ext>
            </a:extLst>
          </xdr:cNvPr>
          <xdr:cNvPicPr>
            <a:picLocks noChangeAspect="1"/>
          </xdr:cNvPicPr>
        </xdr:nvPicPr>
        <xdr:blipFill>
          <a:blip xmlns:r="http://schemas.openxmlformats.org/officeDocument/2006/relationships" r:embed="rId9"/>
          <a:stretch>
            <a:fillRect/>
          </a:stretch>
        </xdr:blipFill>
        <xdr:spPr>
          <a:xfrm>
            <a:off x="17213571" y="863452"/>
            <a:ext cx="836927" cy="557952"/>
          </a:xfrm>
          <a:prstGeom prst="rect">
            <a:avLst/>
          </a:prstGeom>
        </xdr:spPr>
      </xdr:pic>
    </xdr:grpSp>
    <xdr:clientData/>
  </xdr:twoCellAnchor>
  <xdr:twoCellAnchor editAs="oneCell">
    <xdr:from>
      <xdr:col>10</xdr:col>
      <xdr:colOff>166255</xdr:colOff>
      <xdr:row>8</xdr:row>
      <xdr:rowOff>26844</xdr:rowOff>
    </xdr:from>
    <xdr:to>
      <xdr:col>11</xdr:col>
      <xdr:colOff>221674</xdr:colOff>
      <xdr:row>11</xdr:row>
      <xdr:rowOff>110072</xdr:rowOff>
    </xdr:to>
    <xdr:pic>
      <xdr:nvPicPr>
        <xdr:cNvPr id="35" name="Picture 34">
          <a:extLst>
            <a:ext uri="{FF2B5EF4-FFF2-40B4-BE49-F238E27FC236}">
              <a16:creationId xmlns:a16="http://schemas.microsoft.com/office/drawing/2014/main" id="{3198250D-22C7-45AE-9C18-70C6DDF5804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262255" y="1550844"/>
          <a:ext cx="665019" cy="654728"/>
        </a:xfrm>
        <a:prstGeom prst="rect">
          <a:avLst/>
        </a:prstGeom>
      </xdr:spPr>
    </xdr:pic>
    <xdr:clientData/>
  </xdr:twoCellAnchor>
  <xdr:twoCellAnchor editAs="oneCell">
    <xdr:from>
      <xdr:col>16</xdr:col>
      <xdr:colOff>249380</xdr:colOff>
      <xdr:row>7</xdr:row>
      <xdr:rowOff>55419</xdr:rowOff>
    </xdr:from>
    <xdr:to>
      <xdr:col>18</xdr:col>
      <xdr:colOff>29696</xdr:colOff>
      <xdr:row>11</xdr:row>
      <xdr:rowOff>116098</xdr:rowOff>
    </xdr:to>
    <xdr:pic>
      <xdr:nvPicPr>
        <xdr:cNvPr id="37" name="Picture 36">
          <a:extLst>
            <a:ext uri="{FF2B5EF4-FFF2-40B4-BE49-F238E27FC236}">
              <a16:creationId xmlns:a16="http://schemas.microsoft.com/office/drawing/2014/main" id="{3DD3E3BF-56AC-4BBB-A04A-5D6881DC449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0002980" y="1388919"/>
          <a:ext cx="999516" cy="822679"/>
        </a:xfrm>
        <a:prstGeom prst="rect">
          <a:avLst/>
        </a:prstGeom>
      </xdr:spPr>
    </xdr:pic>
    <xdr:clientData/>
  </xdr:twoCellAnchor>
  <xdr:twoCellAnchor>
    <xdr:from>
      <xdr:col>24</xdr:col>
      <xdr:colOff>249379</xdr:colOff>
      <xdr:row>8</xdr:row>
      <xdr:rowOff>152403</xdr:rowOff>
    </xdr:from>
    <xdr:to>
      <xdr:col>30</xdr:col>
      <xdr:colOff>130913</xdr:colOff>
      <xdr:row>12</xdr:row>
      <xdr:rowOff>36140</xdr:rowOff>
    </xdr:to>
    <xdr:sp macro="" textlink="'pivot table'!$D$5">
      <xdr:nvSpPr>
        <xdr:cNvPr id="40" name="Rectangle: Rounded Corners 39">
          <a:extLst>
            <a:ext uri="{FF2B5EF4-FFF2-40B4-BE49-F238E27FC236}">
              <a16:creationId xmlns:a16="http://schemas.microsoft.com/office/drawing/2014/main" id="{A6E56303-E003-4745-B8D9-C55622D7B2BC}"/>
            </a:ext>
          </a:extLst>
        </xdr:cNvPr>
        <xdr:cNvSpPr/>
      </xdr:nvSpPr>
      <xdr:spPr>
        <a:xfrm>
          <a:off x="14879779" y="1593276"/>
          <a:ext cx="3539134" cy="604173"/>
        </a:xfrm>
        <a:prstGeom prst="roundRect">
          <a:avLst/>
        </a:prstGeom>
        <a:noFill/>
        <a:ln>
          <a:noFill/>
        </a:ln>
      </xdr:spPr>
      <xdr:style>
        <a:lnRef idx="2">
          <a:schemeClr val="accent1">
            <a:shade val="50000"/>
          </a:schemeClr>
        </a:lnRef>
        <a:fillRef idx="1001">
          <a:schemeClr val="lt1"/>
        </a:fillRef>
        <a:effectRef idx="0">
          <a:schemeClr val="accent1"/>
        </a:effectRef>
        <a:fontRef idx="minor">
          <a:schemeClr val="lt1"/>
        </a:fontRef>
      </xdr:style>
      <xdr:txBody>
        <a:bodyPr vertOverflow="clip" horzOverflow="clip" rtlCol="0" anchor="ctr"/>
        <a:lstStyle/>
        <a:p>
          <a:pPr algn="ctr"/>
          <a:fld id="{4B5A6FC3-38B7-4E4E-8D22-EACDF0738423}" type="TxLink">
            <a:rPr lang="en-US" sz="4400" b="1" i="0" u="none" strike="noStrike">
              <a:solidFill>
                <a:srgbClr val="000000"/>
              </a:solidFill>
              <a:latin typeface="Calibri"/>
              <a:ea typeface="Calibri"/>
              <a:cs typeface="Calibri"/>
            </a:rPr>
            <a:pPr algn="ctr"/>
            <a:t> 3,000 </a:t>
          </a:fld>
          <a:endParaRPr lang="en-US" sz="44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4.355800810183" backgroundQuery="1" createdVersion="7" refreshedVersion="7" minRefreshableVersion="3" recordCount="0" supportSubquery="1" supportAdvancedDrill="1" xr:uid="{5245B31B-44A5-41A6-BFD3-CF2F1001AEA9}">
  <cacheSource type="external" connectionId="2"/>
  <cacheFields count="0"/>
  <cacheHierarchies count="34">
    <cacheHierarchy uniqueName="[Table1].[Sale_ID]" caption="Sale_ID" attribute="1" defaultMemberUniqueName="[Table1].[Sale_ID].[All]" allUniqueName="[Table1].[Sale_ID].[All]" dimensionUniqueName="[Table1]" displayFolder="" count="0" memberValueDatatype="5"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5" unbalanced="0"/>
    <cacheHierarchy uniqueName="[Table1].[Unit_Price]" caption="Unit_Price" attribute="1" defaultMemberUniqueName="[Table1].[Unit_Price].[All]" allUniqueName="[Table1].[Unit_Price].[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Customer]" caption="Customer" attribute="1" defaultMemberUniqueName="[Table1].[Customer].[All]" allUniqueName="[Table1].[Customer].[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Supplier_ID]" caption="Supplier_ID" attribute="1" defaultMemberUniqueName="[Table1].[Supplier_ID].[All]" allUniqueName="[Table1].[Supplier_ID].[All]" dimensionUniqueName="[Table1]" displayFolder="" count="0" memberValueDatatype="5" unbalanced="0"/>
    <cacheHierarchy uniqueName="[Table1].[Category]" caption="Category" attribute="1" defaultMemberUniqueName="[Table1].[Category].[All]" allUniqueName="[Table1].[Category].[All]" dimensionUniqueName="[Table1]" displayFolder="" count="0" memberValueDatatype="130" unbalanced="0"/>
    <cacheHierarchy uniqueName="[Table1].[Total_Price]" caption="Total_Price" attribute="1" defaultMemberUniqueName="[Table1].[Total_Price].[All]" allUniqueName="[Table1].[Total_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Date (Month)]" caption="Date (Month)" attribute="1" defaultMemberUniqueName="[Table1].[Date (Month)].[All]" allUniqueName="[Table1].[Date (Month)].[All]" dimensionUniqueName="[Table1]" displayFolder="" count="0" memberValueDatatype="130" unbalanced="0"/>
    <cacheHierarchy uniqueName="[Table2].[Supplier_ID]" caption="Supplier_ID" attribute="1" defaultMemberUniqueName="[Table2].[Supplier_ID].[All]" allUniqueName="[Table2].[Supplier_ID].[All]" dimensionUniqueName="[Table2]" displayFolder="" count="0" memberValueDatatype="5" unbalanced="0"/>
    <cacheHierarchy uniqueName="[Table2].[Supplier_Name]" caption="Supplier_Name" attribute="1" defaultMemberUniqueName="[Table2].[Supplier_Name].[All]" allUniqueName="[Table2].[Supplier_Name].[All]" dimensionUniqueName="[Table2]" displayFolder="" count="2" memberValueDatatype="130" unbalanced="0"/>
    <cacheHierarchy uniqueName="[Table2].[Supplier_Country]" caption="Supplier_Country" attribute="1" defaultMemberUniqueName="[Table2].[Supplier_Country].[All]" allUniqueName="[Table2].[Supplier_Country].[All]" dimensionUniqueName="[Table2]" displayFolder="" count="0" memberValueDatatype="130" unbalanced="0"/>
    <cacheHierarchy uniqueName="[Table2].[Contact]" caption="Contact" attribute="1" defaultMemberUniqueName="[Table2].[Contact].[All]" allUniqueName="[Table2].[Contact].[All]" dimensionUniqueName="[Table2]" displayFolder="" count="0" memberValueDatatype="5"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Customer_Segment]" caption="Customer_Segment" attribute="1" defaultMemberUniqueName="[Table3].[Customer_Segment].[All]" allUniqueName="[Table3].[Customer_Segment].[All]" dimensionUniqueName="[Table3]" displayFolder="" count="0" memberValueDatatype="130" unbalanced="0"/>
    <cacheHierarchy uniqueName="[Table3].[Customer_Country]" caption="Customer_Country" attribute="1" defaultMemberUniqueName="[Table3].[Customer_Country].[All]" allUniqueName="[Table3].[Customer_Country].[All]" dimensionUniqueName="[Table3]" displayFolder="" count="0" memberValueDatatype="130" unbalanced="0"/>
    <cacheHierarchy uniqueName="[Table3].[Email]" caption="Email" attribute="1" defaultMemberUniqueName="[Table3].[Email].[All]" allUniqueName="[Table3].[Email].[All]" dimensionUniqueName="[Table3]"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otal_Price]" caption="Sum of Total_Price" measure="1" displayFolder="" measureGroup="Table1"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Tabl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0"/>
        </ext>
      </extLst>
    </cacheHierarchy>
    <cacheHierarchy uniqueName="[Measures].[Sum of Sale_ID]" caption="Sum of Sale_ID" measure="1" displayFolder="" measureGroup="Table1" count="0" hidden="1">
      <extLst>
        <ext xmlns:x15="http://schemas.microsoft.com/office/spreadsheetml/2010/11/main" uri="{B97F6D7D-B522-45F9-BDA1-12C45D357490}">
          <x15:cacheHierarchy aggregatedColumn="0"/>
        </ext>
      </extLst>
    </cacheHierarchy>
    <cacheHierarchy uniqueName="[Measures].[Count of Sale_ID]" caption="Count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Total_Price]" caption="Average of Total_Price"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4.370534027781" backgroundQuery="1" createdVersion="7" refreshedVersion="7" minRefreshableVersion="3" recordCount="0" supportSubquery="1" supportAdvancedDrill="1" xr:uid="{2834D115-0174-43CF-AC40-D8561AF94BD7}">
  <cacheSource type="external" connectionId="2"/>
  <cacheFields count="0"/>
  <cacheHierarchies count="34">
    <cacheHierarchy uniqueName="[Table1].[Sale_ID]" caption="Sale_ID" attribute="1" defaultMemberUniqueName="[Table1].[Sale_ID].[All]" allUniqueName="[Table1].[Sale_ID].[All]" dimensionUniqueName="[Table1]" displayFolder="" count="0" memberValueDatatype="5"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5" unbalanced="0"/>
    <cacheHierarchy uniqueName="[Table1].[Unit_Price]" caption="Unit_Price" attribute="1" defaultMemberUniqueName="[Table1].[Unit_Price].[All]" allUniqueName="[Table1].[Unit_Price].[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Customer]" caption="Customer" attribute="1" defaultMemberUniqueName="[Table1].[Customer].[All]" allUniqueName="[Table1].[Customer].[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Supplier_ID]" caption="Supplier_ID" attribute="1" defaultMemberUniqueName="[Table1].[Supplier_ID].[All]" allUniqueName="[Table1].[Supplier_ID].[All]" dimensionUniqueName="[Table1]" displayFolder="" count="0" memberValueDatatype="5" unbalanced="0"/>
    <cacheHierarchy uniqueName="[Table1].[Category]" caption="Category" attribute="1" defaultMemberUniqueName="[Table1].[Category].[All]" allUniqueName="[Table1].[Category].[All]" dimensionUniqueName="[Table1]" displayFolder="" count="0" memberValueDatatype="130" unbalanced="0"/>
    <cacheHierarchy uniqueName="[Table1].[Total_Price]" caption="Total_Price" attribute="1" defaultMemberUniqueName="[Table1].[Total_Price].[All]" allUniqueName="[Table1].[Total_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Date (Month)]" caption="Date (Month)" attribute="1" defaultMemberUniqueName="[Table1].[Date (Month)].[All]" allUniqueName="[Table1].[Date (Month)].[All]" dimensionUniqueName="[Table1]" displayFolder="" count="0" memberValueDatatype="130" unbalanced="0"/>
    <cacheHierarchy uniqueName="[Table2].[Supplier_ID]" caption="Supplier_ID" attribute="1" defaultMemberUniqueName="[Table2].[Supplier_ID].[All]" allUniqueName="[Table2].[Supplier_ID].[All]" dimensionUniqueName="[Table2]" displayFolder="" count="0" memberValueDatatype="5" unbalanced="0"/>
    <cacheHierarchy uniqueName="[Table2].[Supplier_Name]" caption="Supplier_Name" attribute="1" defaultMemberUniqueName="[Table2].[Supplier_Name].[All]" allUniqueName="[Table2].[Supplier_Name].[All]" dimensionUniqueName="[Table2]" displayFolder="" count="2" memberValueDatatype="130" unbalanced="0"/>
    <cacheHierarchy uniqueName="[Table2].[Supplier_Country]" caption="Supplier_Country" attribute="1" defaultMemberUniqueName="[Table2].[Supplier_Country].[All]" allUniqueName="[Table2].[Supplier_Country].[All]" dimensionUniqueName="[Table2]" displayFolder="" count="0" memberValueDatatype="130" unbalanced="0"/>
    <cacheHierarchy uniqueName="[Table2].[Contact]" caption="Contact" attribute="1" defaultMemberUniqueName="[Table2].[Contact].[All]" allUniqueName="[Table2].[Contact].[All]" dimensionUniqueName="[Table2]" displayFolder="" count="0" memberValueDatatype="5"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Customer_Segment]" caption="Customer_Segment" attribute="1" defaultMemberUniqueName="[Table3].[Customer_Segment].[All]" allUniqueName="[Table3].[Customer_Segment].[All]" dimensionUniqueName="[Table3]" displayFolder="" count="0" memberValueDatatype="130" unbalanced="0"/>
    <cacheHierarchy uniqueName="[Table3].[Customer_Country]" caption="Customer_Country" attribute="1" defaultMemberUniqueName="[Table3].[Customer_Country].[All]" allUniqueName="[Table3].[Customer_Country].[All]" dimensionUniqueName="[Table3]" displayFolder="" count="0" memberValueDatatype="130" unbalanced="0"/>
    <cacheHierarchy uniqueName="[Table3].[Email]" caption="Email" attribute="1" defaultMemberUniqueName="[Table3].[Email].[All]" allUniqueName="[Table3].[Email].[All]" dimensionUniqueName="[Table3]"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otal_Price]" caption="Sum of Total_Price" measure="1" displayFolder="" measureGroup="Table1"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Tabl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0"/>
        </ext>
      </extLst>
    </cacheHierarchy>
    <cacheHierarchy uniqueName="[Measures].[Sum of Sale_ID]" caption="Sum of Sale_ID" measure="1" displayFolder="" measureGroup="Table1" count="0" hidden="1">
      <extLst>
        <ext xmlns:x15="http://schemas.microsoft.com/office/spreadsheetml/2010/11/main" uri="{B97F6D7D-B522-45F9-BDA1-12C45D357490}">
          <x15:cacheHierarchy aggregatedColumn="0"/>
        </ext>
      </extLst>
    </cacheHierarchy>
    <cacheHierarchy uniqueName="[Measures].[Count of Sale_ID]" caption="Count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Total_Price]" caption="Average of Total_Price"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4.375970023146" backgroundQuery="1" createdVersion="7" refreshedVersion="7" minRefreshableVersion="3" recordCount="0" supportSubquery="1" supportAdvancedDrill="1" xr:uid="{008261B0-D00B-4598-962A-8F6DB82724A0}">
  <cacheSource type="external" connectionId="2"/>
  <cacheFields count="0"/>
  <cacheHierarchies count="34">
    <cacheHierarchy uniqueName="[Table1].[Sale_ID]" caption="Sale_ID" attribute="1" defaultMemberUniqueName="[Table1].[Sale_ID].[All]" allUniqueName="[Table1].[Sale_ID].[All]" dimensionUniqueName="[Table1]" displayFolder="" count="0" memberValueDatatype="5"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5" unbalanced="0"/>
    <cacheHierarchy uniqueName="[Table1].[Unit_Price]" caption="Unit_Price" attribute="1" defaultMemberUniqueName="[Table1].[Unit_Price].[All]" allUniqueName="[Table1].[Unit_Price].[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Customer]" caption="Customer" attribute="1" defaultMemberUniqueName="[Table1].[Customer].[All]" allUniqueName="[Table1].[Customer].[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Supplier_ID]" caption="Supplier_ID" attribute="1" defaultMemberUniqueName="[Table1].[Supplier_ID].[All]" allUniqueName="[Table1].[Supplier_ID].[All]" dimensionUniqueName="[Table1]" displayFolder="" count="0" memberValueDatatype="5" unbalanced="0"/>
    <cacheHierarchy uniqueName="[Table1].[Category]" caption="Category" attribute="1" defaultMemberUniqueName="[Table1].[Category].[All]" allUniqueName="[Table1].[Category].[All]" dimensionUniqueName="[Table1]" displayFolder="" count="0" memberValueDatatype="130" unbalanced="0"/>
    <cacheHierarchy uniqueName="[Table1].[Total_Price]" caption="Total_Price" attribute="1" defaultMemberUniqueName="[Table1].[Total_Price].[All]" allUniqueName="[Table1].[Total_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Date (Month)]" caption="Date (Month)" attribute="1" defaultMemberUniqueName="[Table1].[Date (Month)].[All]" allUniqueName="[Table1].[Date (Month)].[All]" dimensionUniqueName="[Table1]" displayFolder="" count="0" memberValueDatatype="130" unbalanced="0"/>
    <cacheHierarchy uniqueName="[Table2].[Supplier_ID]" caption="Supplier_ID" attribute="1" defaultMemberUniqueName="[Table2].[Supplier_ID].[All]" allUniqueName="[Table2].[Supplier_ID].[All]" dimensionUniqueName="[Table2]" displayFolder="" count="0" memberValueDatatype="5" unbalanced="0"/>
    <cacheHierarchy uniqueName="[Table2].[Supplier_Name]" caption="Supplier_Name" attribute="1" defaultMemberUniqueName="[Table2].[Supplier_Name].[All]" allUniqueName="[Table2].[Supplier_Name].[All]" dimensionUniqueName="[Table2]" displayFolder="" count="0" memberValueDatatype="130" unbalanced="0"/>
    <cacheHierarchy uniqueName="[Table2].[Supplier_Country]" caption="Supplier_Country" attribute="1" defaultMemberUniqueName="[Table2].[Supplier_Country].[All]" allUniqueName="[Table2].[Supplier_Country].[All]" dimensionUniqueName="[Table2]" displayFolder="" count="0" memberValueDatatype="130" unbalanced="0"/>
    <cacheHierarchy uniqueName="[Table2].[Contact]" caption="Contact" attribute="1" defaultMemberUniqueName="[Table2].[Contact].[All]" allUniqueName="[Table2].[Contact].[All]" dimensionUniqueName="[Table2]" displayFolder="" count="0" memberValueDatatype="5" unbalanced="0"/>
    <cacheHierarchy uniqueName="[Table3].[Customer_Name]" caption="Customer_Name" attribute="1" defaultMemberUniqueName="[Table3].[Customer_Name].[All]" allUniqueName="[Table3].[Customer_Name].[All]" dimensionUniqueName="[Table3]" displayFolder="" count="2" memberValueDatatype="130" unbalanced="0"/>
    <cacheHierarchy uniqueName="[Table3].[Customer_Segment]" caption="Customer_Segment" attribute="1" defaultMemberUniqueName="[Table3].[Customer_Segment].[All]" allUniqueName="[Table3].[Customer_Segment].[All]" dimensionUniqueName="[Table3]" displayFolder="" count="0" memberValueDatatype="130" unbalanced="0"/>
    <cacheHierarchy uniqueName="[Table3].[Customer_Country]" caption="Customer_Country" attribute="1" defaultMemberUniqueName="[Table3].[Customer_Country].[All]" allUniqueName="[Table3].[Customer_Country].[All]" dimensionUniqueName="[Table3]" displayFolder="" count="2" memberValueDatatype="130" unbalanced="0"/>
    <cacheHierarchy uniqueName="[Table3].[Email]" caption="Email" attribute="1" defaultMemberUniqueName="[Table3].[Email].[All]" allUniqueName="[Table3].[Email].[All]" dimensionUniqueName="[Table3]"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otal_Price]" caption="Sum of Total_Price" measure="1" displayFolder="" measureGroup="Table1"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Tabl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0"/>
        </ext>
      </extLst>
    </cacheHierarchy>
    <cacheHierarchy uniqueName="[Measures].[Sum of Sale_ID]" caption="Sum of Sale_ID" measure="1" displayFolder="" measureGroup="Table1" count="0" hidden="1">
      <extLst>
        <ext xmlns:x15="http://schemas.microsoft.com/office/spreadsheetml/2010/11/main" uri="{B97F6D7D-B522-45F9-BDA1-12C45D357490}">
          <x15:cacheHierarchy aggregatedColumn="0"/>
        </ext>
      </extLst>
    </cacheHierarchy>
    <cacheHierarchy uniqueName="[Measures].[Count of Sale_ID]" caption="Count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Total_Price]" caption="Average of Total_Price"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8.336116550927" backgroundQuery="1" createdVersion="7" refreshedVersion="7" minRefreshableVersion="3" recordCount="0" supportSubquery="1" supportAdvancedDrill="1" xr:uid="{D02AEC95-67BC-432A-924C-FF5417DE6F53}">
  <cacheSource type="external" connectionId="2"/>
  <cacheFields count="2">
    <cacheField name="[Table1].[Product].[Product]" caption="Product" numFmtId="0" hierarchy="1" level="1">
      <sharedItems count="10">
        <s v="Camera"/>
        <s v="Charger"/>
        <s v="Headphones"/>
        <s v="Keyboard"/>
        <s v="Laptop"/>
        <s v="Monitor"/>
        <s v="Mouse"/>
        <s v="Printer"/>
        <s v="Smartphone"/>
        <s v="Tablet"/>
      </sharedItems>
    </cacheField>
    <cacheField name="[Measures].[Sum of Total_Price]" caption="Sum of Total_Price" numFmtId="0" hierarchy="26" level="32767"/>
  </cacheFields>
  <cacheHierarchies count="34">
    <cacheHierarchy uniqueName="[Table1].[Sale_ID]" caption="Sale_ID" attribute="1" defaultMemberUniqueName="[Table1].[Sale_ID].[All]" allUniqueName="[Table1].[Sale_ID].[All]" dimensionUniqueName="[Table1]" displayFolder="" count="0" memberValueDatatype="5"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5" unbalanced="0"/>
    <cacheHierarchy uniqueName="[Table1].[Unit_Price]" caption="Unit_Price" attribute="1" defaultMemberUniqueName="[Table1].[Unit_Price].[All]" allUniqueName="[Table1].[Unit_Price].[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Customer]" caption="Customer" attribute="1" defaultMemberUniqueName="[Table1].[Customer].[All]" allUniqueName="[Table1].[Customer].[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Supplier_ID]" caption="Supplier_ID" attribute="1" defaultMemberUniqueName="[Table1].[Supplier_ID].[All]" allUniqueName="[Table1].[Supplier_ID].[All]" dimensionUniqueName="[Table1]" displayFolder="" count="0" memberValueDatatype="5" unbalanced="0"/>
    <cacheHierarchy uniqueName="[Table1].[Category]" caption="Category" attribute="1" defaultMemberUniqueName="[Table1].[Category].[All]" allUniqueName="[Table1].[Category].[All]" dimensionUniqueName="[Table1]" displayFolder="" count="2" memberValueDatatype="130" unbalanced="0"/>
    <cacheHierarchy uniqueName="[Table1].[Total_Price]" caption="Total_Price" attribute="1" defaultMemberUniqueName="[Table1].[Total_Price].[All]" allUniqueName="[Table1].[Total_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Date (Month)]" caption="Date (Month)" attribute="1" defaultMemberUniqueName="[Table1].[Date (Month)].[All]" allUniqueName="[Table1].[Date (Month)].[All]" dimensionUniqueName="[Table1]" displayFolder="" count="2" memberValueDatatype="130" unbalanced="0"/>
    <cacheHierarchy uniqueName="[Table2].[Supplier_ID]" caption="Supplier_ID" attribute="1" defaultMemberUniqueName="[Table2].[Supplier_ID].[All]" allUniqueName="[Table2].[Supplier_ID].[All]" dimensionUniqueName="[Table2]" displayFolder="" count="0" memberValueDatatype="5" unbalanced="0"/>
    <cacheHierarchy uniqueName="[Table2].[Supplier_Name]" caption="Supplier_Name" attribute="1" defaultMemberUniqueName="[Table2].[Supplier_Name].[All]" allUniqueName="[Table2].[Supplier_Name].[All]" dimensionUniqueName="[Table2]" displayFolder="" count="0" memberValueDatatype="130" unbalanced="0"/>
    <cacheHierarchy uniqueName="[Table2].[Supplier_Country]" caption="Supplier_Country" attribute="1" defaultMemberUniqueName="[Table2].[Supplier_Country].[All]" allUniqueName="[Table2].[Supplier_Country].[All]" dimensionUniqueName="[Table2]" displayFolder="" count="0" memberValueDatatype="130" unbalanced="0"/>
    <cacheHierarchy uniqueName="[Table2].[Contact]" caption="Contact" attribute="1" defaultMemberUniqueName="[Table2].[Contact].[All]" allUniqueName="[Table2].[Contact].[All]" dimensionUniqueName="[Table2]" displayFolder="" count="0" memberValueDatatype="5"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Customer_Segment]" caption="Customer_Segment" attribute="1" defaultMemberUniqueName="[Table3].[Customer_Segment].[All]" allUniqueName="[Table3].[Customer_Segment].[All]" dimensionUniqueName="[Table3]" displayFolder="" count="0" memberValueDatatype="130" unbalanced="0"/>
    <cacheHierarchy uniqueName="[Table3].[Customer_Country]" caption="Customer_Country" attribute="1" defaultMemberUniqueName="[Table3].[Customer_Country].[All]" allUniqueName="[Table3].[Customer_Country].[All]" dimensionUniqueName="[Table3]" displayFolder="" count="0" memberValueDatatype="130" unbalanced="0"/>
    <cacheHierarchy uniqueName="[Table3].[Email]" caption="Email" attribute="1" defaultMemberUniqueName="[Table3].[Email].[All]" allUniqueName="[Table3].[Email].[All]" dimensionUniqueName="[Table3]"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otal_Price]" caption="Sum of Total_Price"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Tabl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0"/>
        </ext>
      </extLst>
    </cacheHierarchy>
    <cacheHierarchy uniqueName="[Measures].[Sum of Sale_ID]" caption="Sum of Sale_ID" measure="1" displayFolder="" measureGroup="Table1" count="0" hidden="1">
      <extLst>
        <ext xmlns:x15="http://schemas.microsoft.com/office/spreadsheetml/2010/11/main" uri="{B97F6D7D-B522-45F9-BDA1-12C45D357490}">
          <x15:cacheHierarchy aggregatedColumn="0"/>
        </ext>
      </extLst>
    </cacheHierarchy>
    <cacheHierarchy uniqueName="[Measures].[Count of Sale_ID]" caption="Count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Total_Price]" caption="Average of Total_Price"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8.336117361112" backgroundQuery="1" createdVersion="7" refreshedVersion="7" minRefreshableVersion="3" recordCount="0" supportSubquery="1" supportAdvancedDrill="1" xr:uid="{3F8D6913-0144-43B3-B105-5831B8BBF17E}">
  <cacheSource type="external" connectionId="2"/>
  <cacheFields count="3">
    <cacheField name="[Table1].[Category].[Category]" caption="Category" numFmtId="0" hierarchy="8" level="1">
      <sharedItems count="4">
        <s v="Accessories"/>
        <s v="Electronics"/>
        <s v="Mobile"/>
        <s v="Office"/>
      </sharedItems>
    </cacheField>
    <cacheField name="[Measures].[Sum of Profit]" caption="Sum of Profit" numFmtId="0" hierarchy="28" level="32767"/>
    <cacheField name="[Table1].[Product].[Product]" caption="Product" numFmtId="0" hierarchy="1" level="1">
      <sharedItems containsSemiMixedTypes="0" containsNonDate="0" containsString="0"/>
    </cacheField>
  </cacheFields>
  <cacheHierarchies count="34">
    <cacheHierarchy uniqueName="[Table1].[Sale_ID]" caption="Sale_ID" attribute="1" defaultMemberUniqueName="[Table1].[Sale_ID].[All]" allUniqueName="[Table1].[Sale_ID].[All]" dimensionUniqueName="[Table1]" displayFolder="" count="0" memberValueDatatype="5" unbalanced="0"/>
    <cacheHierarchy uniqueName="[Table1].[Product]" caption="Product" attribute="1" defaultMemberUniqueName="[Table1].[Product].[All]" allUniqueName="[Table1].[Product].[All]" dimensionUniqueName="[Table1]" displayFolder="" count="2" memberValueDatatype="130" unbalanced="0">
      <fieldsUsage count="2">
        <fieldUsage x="-1"/>
        <fieldUsage x="2"/>
      </fieldsUsage>
    </cacheHierarchy>
    <cacheHierarchy uniqueName="[Table1].[Quantity]" caption="Quantity" attribute="1" defaultMemberUniqueName="[Table1].[Quantity].[All]" allUniqueName="[Table1].[Quantity].[All]" dimensionUniqueName="[Table1]" displayFolder="" count="0" memberValueDatatype="5" unbalanced="0"/>
    <cacheHierarchy uniqueName="[Table1].[Unit_Price]" caption="Unit_Price" attribute="1" defaultMemberUniqueName="[Table1].[Unit_Price].[All]" allUniqueName="[Table1].[Unit_Price].[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Customer]" caption="Customer" attribute="1" defaultMemberUniqueName="[Table1].[Customer].[All]" allUniqueName="[Table1].[Customer].[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Supplier_ID]" caption="Supplier_ID" attribute="1" defaultMemberUniqueName="[Table1].[Supplier_ID].[All]" allUniqueName="[Table1].[Supplier_ID].[All]" dimensionUniqueName="[Table1]" displayFolder="" count="0" memberValueDatatype="5"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Total_Price]" caption="Total_Price" attribute="1" defaultMemberUniqueName="[Table1].[Total_Price].[All]" allUniqueName="[Table1].[Total_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Date (Month)]" caption="Date (Month)" attribute="1" defaultMemberUniqueName="[Table1].[Date (Month)].[All]" allUniqueName="[Table1].[Date (Month)].[All]" dimensionUniqueName="[Table1]" displayFolder="" count="2" memberValueDatatype="130" unbalanced="0"/>
    <cacheHierarchy uniqueName="[Table2].[Supplier_ID]" caption="Supplier_ID" attribute="1" defaultMemberUniqueName="[Table2].[Supplier_ID].[All]" allUniqueName="[Table2].[Supplier_ID].[All]" dimensionUniqueName="[Table2]" displayFolder="" count="0" memberValueDatatype="5" unbalanced="0"/>
    <cacheHierarchy uniqueName="[Table2].[Supplier_Name]" caption="Supplier_Name" attribute="1" defaultMemberUniqueName="[Table2].[Supplier_Name].[All]" allUniqueName="[Table2].[Supplier_Name].[All]" dimensionUniqueName="[Table2]" displayFolder="" count="0" memberValueDatatype="130" unbalanced="0"/>
    <cacheHierarchy uniqueName="[Table2].[Supplier_Country]" caption="Supplier_Country" attribute="1" defaultMemberUniqueName="[Table2].[Supplier_Country].[All]" allUniqueName="[Table2].[Supplier_Country].[All]" dimensionUniqueName="[Table2]" displayFolder="" count="0" memberValueDatatype="130" unbalanced="0"/>
    <cacheHierarchy uniqueName="[Table2].[Contact]" caption="Contact" attribute="1" defaultMemberUniqueName="[Table2].[Contact].[All]" allUniqueName="[Table2].[Contact].[All]" dimensionUniqueName="[Table2]" displayFolder="" count="0" memberValueDatatype="5"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Customer_Segment]" caption="Customer_Segment" attribute="1" defaultMemberUniqueName="[Table3].[Customer_Segment].[All]" allUniqueName="[Table3].[Customer_Segment].[All]" dimensionUniqueName="[Table3]" displayFolder="" count="0" memberValueDatatype="130" unbalanced="0"/>
    <cacheHierarchy uniqueName="[Table3].[Customer_Country]" caption="Customer_Country" attribute="1" defaultMemberUniqueName="[Table3].[Customer_Country].[All]" allUniqueName="[Table3].[Customer_Country].[All]" dimensionUniqueName="[Table3]" displayFolder="" count="0" memberValueDatatype="130" unbalanced="0"/>
    <cacheHierarchy uniqueName="[Table3].[Email]" caption="Email" attribute="1" defaultMemberUniqueName="[Table3].[Email].[All]" allUniqueName="[Table3].[Email].[All]" dimensionUniqueName="[Table3]"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otal_Price]" caption="Sum of Total_Price" measure="1" displayFolder="" measureGroup="Table1"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Tabl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Sale_ID]" caption="Sum of Sale_ID" measure="1" displayFolder="" measureGroup="Table1" count="0" hidden="1">
      <extLst>
        <ext xmlns:x15="http://schemas.microsoft.com/office/spreadsheetml/2010/11/main" uri="{B97F6D7D-B522-45F9-BDA1-12C45D357490}">
          <x15:cacheHierarchy aggregatedColumn="0"/>
        </ext>
      </extLst>
    </cacheHierarchy>
    <cacheHierarchy uniqueName="[Measures].[Count of Sale_ID]" caption="Count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Total_Price]" caption="Average of Total_Price"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8.336117708335" backgroundQuery="1" createdVersion="7" refreshedVersion="7" minRefreshableVersion="3" recordCount="0" supportSubquery="1" supportAdvancedDrill="1" xr:uid="{88D468FD-EB48-4849-8E08-6593430186F5}">
  <cacheSource type="external" connectionId="2"/>
  <cacheFields count="3">
    <cacheField name="[Table1].[Category].[Category]" caption="Category" numFmtId="0" hierarchy="8" level="1">
      <sharedItems count="4">
        <s v="Accessories"/>
        <s v="Electronics"/>
        <s v="Mobile"/>
        <s v="Office"/>
      </sharedItems>
    </cacheField>
    <cacheField name="[Measures].[Sum of Total_Price]" caption="Sum of Total_Price" numFmtId="0" hierarchy="26" level="32767"/>
    <cacheField name="[Table1].[Product].[Product]" caption="Product" numFmtId="0" hierarchy="1" level="1">
      <sharedItems containsSemiMixedTypes="0" containsNonDate="0" containsString="0"/>
    </cacheField>
  </cacheFields>
  <cacheHierarchies count="34">
    <cacheHierarchy uniqueName="[Table1].[Sale_ID]" caption="Sale_ID" attribute="1" defaultMemberUniqueName="[Table1].[Sale_ID].[All]" allUniqueName="[Table1].[Sale_ID].[All]" dimensionUniqueName="[Table1]" displayFolder="" count="0" memberValueDatatype="5" unbalanced="0"/>
    <cacheHierarchy uniqueName="[Table1].[Product]" caption="Product" attribute="1" defaultMemberUniqueName="[Table1].[Product].[All]" allUniqueName="[Table1].[Product].[All]" dimensionUniqueName="[Table1]" displayFolder="" count="2" memberValueDatatype="130" unbalanced="0">
      <fieldsUsage count="2">
        <fieldUsage x="-1"/>
        <fieldUsage x="2"/>
      </fieldsUsage>
    </cacheHierarchy>
    <cacheHierarchy uniqueName="[Table1].[Quantity]" caption="Quantity" attribute="1" defaultMemberUniqueName="[Table1].[Quantity].[All]" allUniqueName="[Table1].[Quantity].[All]" dimensionUniqueName="[Table1]" displayFolder="" count="0" memberValueDatatype="5" unbalanced="0"/>
    <cacheHierarchy uniqueName="[Table1].[Unit_Price]" caption="Unit_Price" attribute="1" defaultMemberUniqueName="[Table1].[Unit_Price].[All]" allUniqueName="[Table1].[Unit_Price].[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Customer]" caption="Customer" attribute="1" defaultMemberUniqueName="[Table1].[Customer].[All]" allUniqueName="[Table1].[Customer].[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Supplier_ID]" caption="Supplier_ID" attribute="1" defaultMemberUniqueName="[Table1].[Supplier_ID].[All]" allUniqueName="[Table1].[Supplier_ID].[All]" dimensionUniqueName="[Table1]" displayFolder="" count="0" memberValueDatatype="5"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Total_Price]" caption="Total_Price" attribute="1" defaultMemberUniqueName="[Table1].[Total_Price].[All]" allUniqueName="[Table1].[Total_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Date (Month)]" caption="Date (Month)" attribute="1" defaultMemberUniqueName="[Table1].[Date (Month)].[All]" allUniqueName="[Table1].[Date (Month)].[All]" dimensionUniqueName="[Table1]" displayFolder="" count="2" memberValueDatatype="130" unbalanced="0"/>
    <cacheHierarchy uniqueName="[Table2].[Supplier_ID]" caption="Supplier_ID" attribute="1" defaultMemberUniqueName="[Table2].[Supplier_ID].[All]" allUniqueName="[Table2].[Supplier_ID].[All]" dimensionUniqueName="[Table2]" displayFolder="" count="0" memberValueDatatype="5" unbalanced="0"/>
    <cacheHierarchy uniqueName="[Table2].[Supplier_Name]" caption="Supplier_Name" attribute="1" defaultMemberUniqueName="[Table2].[Supplier_Name].[All]" allUniqueName="[Table2].[Supplier_Name].[All]" dimensionUniqueName="[Table2]" displayFolder="" count="0" memberValueDatatype="130" unbalanced="0"/>
    <cacheHierarchy uniqueName="[Table2].[Supplier_Country]" caption="Supplier_Country" attribute="1" defaultMemberUniqueName="[Table2].[Supplier_Country].[All]" allUniqueName="[Table2].[Supplier_Country].[All]" dimensionUniqueName="[Table2]" displayFolder="" count="0" memberValueDatatype="130" unbalanced="0"/>
    <cacheHierarchy uniqueName="[Table2].[Contact]" caption="Contact" attribute="1" defaultMemberUniqueName="[Table2].[Contact].[All]" allUniqueName="[Table2].[Contact].[All]" dimensionUniqueName="[Table2]" displayFolder="" count="0" memberValueDatatype="5"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Customer_Segment]" caption="Customer_Segment" attribute="1" defaultMemberUniqueName="[Table3].[Customer_Segment].[All]" allUniqueName="[Table3].[Customer_Segment].[All]" dimensionUniqueName="[Table3]" displayFolder="" count="0" memberValueDatatype="130" unbalanced="0"/>
    <cacheHierarchy uniqueName="[Table3].[Customer_Country]" caption="Customer_Country" attribute="1" defaultMemberUniqueName="[Table3].[Customer_Country].[All]" allUniqueName="[Table3].[Customer_Country].[All]" dimensionUniqueName="[Table3]" displayFolder="" count="0" memberValueDatatype="130" unbalanced="0"/>
    <cacheHierarchy uniqueName="[Table3].[Email]" caption="Email" attribute="1" defaultMemberUniqueName="[Table3].[Email].[All]" allUniqueName="[Table3].[Email].[All]" dimensionUniqueName="[Table3]"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otal_Price]" caption="Sum of Total_Price"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Tabl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0"/>
        </ext>
      </extLst>
    </cacheHierarchy>
    <cacheHierarchy uniqueName="[Measures].[Sum of Sale_ID]" caption="Sum of Sale_ID" measure="1" displayFolder="" measureGroup="Table1" count="0" hidden="1">
      <extLst>
        <ext xmlns:x15="http://schemas.microsoft.com/office/spreadsheetml/2010/11/main" uri="{B97F6D7D-B522-45F9-BDA1-12C45D357490}">
          <x15:cacheHierarchy aggregatedColumn="0"/>
        </ext>
      </extLst>
    </cacheHierarchy>
    <cacheHierarchy uniqueName="[Measures].[Count of Sale_ID]" caption="Count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Total_Price]" caption="Average of Total_Price"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8.336118402774" backgroundQuery="1" createdVersion="7" refreshedVersion="7" minRefreshableVersion="3" recordCount="0" supportSubquery="1" supportAdvancedDrill="1" xr:uid="{9D0D2B6C-4607-4D59-A0D7-B347BD5AC9C1}">
  <cacheSource type="external" connectionId="2"/>
  <cacheFields count="3">
    <cacheField name="[Table1].[Country].[Country]" caption="Country" numFmtId="0" hierarchy="6" level="1">
      <sharedItems count="8">
        <s v="Algeria"/>
        <s v="Egypt"/>
        <s v="Jordan"/>
        <s v="KSA"/>
        <s v="Moroco"/>
        <s v="Qatar"/>
        <s v="Tunisia"/>
        <s v="UAE"/>
      </sharedItems>
    </cacheField>
    <cacheField name="[Measures].[Sum of Profit]" caption="Sum of Profit" numFmtId="0" hierarchy="28" level="32767"/>
    <cacheField name="[Table1].[Product].[Product]" caption="Product" numFmtId="0" hierarchy="1" level="1">
      <sharedItems containsSemiMixedTypes="0" containsNonDate="0" containsString="0"/>
    </cacheField>
  </cacheFields>
  <cacheHierarchies count="34">
    <cacheHierarchy uniqueName="[Table1].[Sale_ID]" caption="Sale_ID" attribute="1" defaultMemberUniqueName="[Table1].[Sale_ID].[All]" allUniqueName="[Table1].[Sale_ID].[All]" dimensionUniqueName="[Table1]" displayFolder="" count="0" memberValueDatatype="5" unbalanced="0"/>
    <cacheHierarchy uniqueName="[Table1].[Product]" caption="Product" attribute="1" defaultMemberUniqueName="[Table1].[Product].[All]" allUniqueName="[Table1].[Product].[All]" dimensionUniqueName="[Table1]" displayFolder="" count="2" memberValueDatatype="130" unbalanced="0">
      <fieldsUsage count="2">
        <fieldUsage x="-1"/>
        <fieldUsage x="2"/>
      </fieldsUsage>
    </cacheHierarchy>
    <cacheHierarchy uniqueName="[Table1].[Quantity]" caption="Quantity" attribute="1" defaultMemberUniqueName="[Table1].[Quantity].[All]" allUniqueName="[Table1].[Quantity].[All]" dimensionUniqueName="[Table1]" displayFolder="" count="0" memberValueDatatype="5" unbalanced="0"/>
    <cacheHierarchy uniqueName="[Table1].[Unit_Price]" caption="Unit_Price" attribute="1" defaultMemberUniqueName="[Table1].[Unit_Price].[All]" allUniqueName="[Table1].[Unit_Price].[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Customer]" caption="Customer" attribute="1" defaultMemberUniqueName="[Table1].[Customer].[All]" allUniqueName="[Table1].[Customer].[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Supplier_ID]" caption="Supplier_ID" attribute="1" defaultMemberUniqueName="[Table1].[Supplier_ID].[All]" allUniqueName="[Table1].[Supplier_ID].[All]" dimensionUniqueName="[Table1]" displayFolder="" count="0" memberValueDatatype="5" unbalanced="0"/>
    <cacheHierarchy uniqueName="[Table1].[Category]" caption="Category" attribute="1" defaultMemberUniqueName="[Table1].[Category].[All]" allUniqueName="[Table1].[Category].[All]" dimensionUniqueName="[Table1]" displayFolder="" count="2" memberValueDatatype="130" unbalanced="0"/>
    <cacheHierarchy uniqueName="[Table1].[Total_Price]" caption="Total_Price" attribute="1" defaultMemberUniqueName="[Table1].[Total_Price].[All]" allUniqueName="[Table1].[Total_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Date (Month)]" caption="Date (Month)" attribute="1" defaultMemberUniqueName="[Table1].[Date (Month)].[All]" allUniqueName="[Table1].[Date (Month)].[All]" dimensionUniqueName="[Table1]" displayFolder="" count="2" memberValueDatatype="130" unbalanced="0"/>
    <cacheHierarchy uniqueName="[Table2].[Supplier_ID]" caption="Supplier_ID" attribute="1" defaultMemberUniqueName="[Table2].[Supplier_ID].[All]" allUniqueName="[Table2].[Supplier_ID].[All]" dimensionUniqueName="[Table2]" displayFolder="" count="0" memberValueDatatype="5" unbalanced="0"/>
    <cacheHierarchy uniqueName="[Table2].[Supplier_Name]" caption="Supplier_Name" attribute="1" defaultMemberUniqueName="[Table2].[Supplier_Name].[All]" allUniqueName="[Table2].[Supplier_Name].[All]" dimensionUniqueName="[Table2]" displayFolder="" count="0" memberValueDatatype="130" unbalanced="0"/>
    <cacheHierarchy uniqueName="[Table2].[Supplier_Country]" caption="Supplier_Country" attribute="1" defaultMemberUniqueName="[Table2].[Supplier_Country].[All]" allUniqueName="[Table2].[Supplier_Country].[All]" dimensionUniqueName="[Table2]" displayFolder="" count="0" memberValueDatatype="130" unbalanced="0"/>
    <cacheHierarchy uniqueName="[Table2].[Contact]" caption="Contact" attribute="1" defaultMemberUniqueName="[Table2].[Contact].[All]" allUniqueName="[Table2].[Contact].[All]" dimensionUniqueName="[Table2]" displayFolder="" count="0" memberValueDatatype="5"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Customer_Segment]" caption="Customer_Segment" attribute="1" defaultMemberUniqueName="[Table3].[Customer_Segment].[All]" allUniqueName="[Table3].[Customer_Segment].[All]" dimensionUniqueName="[Table3]" displayFolder="" count="0" memberValueDatatype="130" unbalanced="0"/>
    <cacheHierarchy uniqueName="[Table3].[Customer_Country]" caption="Customer_Country" attribute="1" defaultMemberUniqueName="[Table3].[Customer_Country].[All]" allUniqueName="[Table3].[Customer_Country].[All]" dimensionUniqueName="[Table3]" displayFolder="" count="0" memberValueDatatype="130" unbalanced="0"/>
    <cacheHierarchy uniqueName="[Table3].[Email]" caption="Email" attribute="1" defaultMemberUniqueName="[Table3].[Email].[All]" allUniqueName="[Table3].[Email].[All]" dimensionUniqueName="[Table3]"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otal_Price]" caption="Sum of Total_Price" measure="1" displayFolder="" measureGroup="Table1"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Tabl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Sale_ID]" caption="Sum of Sale_ID" measure="1" displayFolder="" measureGroup="Table1" count="0" hidden="1">
      <extLst>
        <ext xmlns:x15="http://schemas.microsoft.com/office/spreadsheetml/2010/11/main" uri="{B97F6D7D-B522-45F9-BDA1-12C45D357490}">
          <x15:cacheHierarchy aggregatedColumn="0"/>
        </ext>
      </extLst>
    </cacheHierarchy>
    <cacheHierarchy uniqueName="[Measures].[Count of Sale_ID]" caption="Count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Total_Price]" caption="Average of Total_Price"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8.336118749998" backgroundQuery="1" createdVersion="7" refreshedVersion="7" minRefreshableVersion="3" recordCount="0" supportSubquery="1" supportAdvancedDrill="1" xr:uid="{8FE8B49D-FA46-4C38-B886-CE619CF5B887}">
  <cacheSource type="external" connectionId="2"/>
  <cacheFields count="3">
    <cacheField name="[Table1].[Country].[Country]" caption="Country" numFmtId="0" hierarchy="6" level="1">
      <sharedItems count="8">
        <s v="Algeria"/>
        <s v="Egypt"/>
        <s v="Jordan"/>
        <s v="KSA"/>
        <s v="Moroco"/>
        <s v="Qatar"/>
        <s v="Tunisia"/>
        <s v="UAE"/>
      </sharedItems>
    </cacheField>
    <cacheField name="[Measures].[Count of Sale_ID]" caption="Count of Sale_ID" numFmtId="0" hierarchy="30" level="32767"/>
    <cacheField name="[Table1].[Product].[Product]" caption="Product" numFmtId="0" hierarchy="1" level="1">
      <sharedItems containsSemiMixedTypes="0" containsNonDate="0" containsString="0"/>
    </cacheField>
  </cacheFields>
  <cacheHierarchies count="34">
    <cacheHierarchy uniqueName="[Table1].[Sale_ID]" caption="Sale_ID" attribute="1" defaultMemberUniqueName="[Table1].[Sale_ID].[All]" allUniqueName="[Table1].[Sale_ID].[All]" dimensionUniqueName="[Table1]" displayFolder="" count="0" memberValueDatatype="5" unbalanced="0"/>
    <cacheHierarchy uniqueName="[Table1].[Product]" caption="Product" attribute="1" defaultMemberUniqueName="[Table1].[Product].[All]" allUniqueName="[Table1].[Product].[All]" dimensionUniqueName="[Table1]" displayFolder="" count="2" memberValueDatatype="130" unbalanced="0">
      <fieldsUsage count="2">
        <fieldUsage x="-1"/>
        <fieldUsage x="2"/>
      </fieldsUsage>
    </cacheHierarchy>
    <cacheHierarchy uniqueName="[Table1].[Quantity]" caption="Quantity" attribute="1" defaultMemberUniqueName="[Table1].[Quantity].[All]" allUniqueName="[Table1].[Quantity].[All]" dimensionUniqueName="[Table1]" displayFolder="" count="0" memberValueDatatype="5" unbalanced="0"/>
    <cacheHierarchy uniqueName="[Table1].[Unit_Price]" caption="Unit_Price" attribute="1" defaultMemberUniqueName="[Table1].[Unit_Price].[All]" allUniqueName="[Table1].[Unit_Price].[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Customer]" caption="Customer" attribute="1" defaultMemberUniqueName="[Table1].[Customer].[All]" allUniqueName="[Table1].[Customer].[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Supplier_ID]" caption="Supplier_ID" attribute="1" defaultMemberUniqueName="[Table1].[Supplier_ID].[All]" allUniqueName="[Table1].[Supplier_ID].[All]" dimensionUniqueName="[Table1]" displayFolder="" count="0" memberValueDatatype="5" unbalanced="0"/>
    <cacheHierarchy uniqueName="[Table1].[Category]" caption="Category" attribute="1" defaultMemberUniqueName="[Table1].[Category].[All]" allUniqueName="[Table1].[Category].[All]" dimensionUniqueName="[Table1]" displayFolder="" count="2" memberValueDatatype="130" unbalanced="0"/>
    <cacheHierarchy uniqueName="[Table1].[Total_Price]" caption="Total_Price" attribute="1" defaultMemberUniqueName="[Table1].[Total_Price].[All]" allUniqueName="[Table1].[Total_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Date (Month)]" caption="Date (Month)" attribute="1" defaultMemberUniqueName="[Table1].[Date (Month)].[All]" allUniqueName="[Table1].[Date (Month)].[All]" dimensionUniqueName="[Table1]" displayFolder="" count="2" memberValueDatatype="130" unbalanced="0"/>
    <cacheHierarchy uniqueName="[Table2].[Supplier_ID]" caption="Supplier_ID" attribute="1" defaultMemberUniqueName="[Table2].[Supplier_ID].[All]" allUniqueName="[Table2].[Supplier_ID].[All]" dimensionUniqueName="[Table2]" displayFolder="" count="0" memberValueDatatype="5" unbalanced="0"/>
    <cacheHierarchy uniqueName="[Table2].[Supplier_Name]" caption="Supplier_Name" attribute="1" defaultMemberUniqueName="[Table2].[Supplier_Name].[All]" allUniqueName="[Table2].[Supplier_Name].[All]" dimensionUniqueName="[Table2]" displayFolder="" count="0" memberValueDatatype="130" unbalanced="0"/>
    <cacheHierarchy uniqueName="[Table2].[Supplier_Country]" caption="Supplier_Country" attribute="1" defaultMemberUniqueName="[Table2].[Supplier_Country].[All]" allUniqueName="[Table2].[Supplier_Country].[All]" dimensionUniqueName="[Table2]" displayFolder="" count="0" memberValueDatatype="130" unbalanced="0"/>
    <cacheHierarchy uniqueName="[Table2].[Contact]" caption="Contact" attribute="1" defaultMemberUniqueName="[Table2].[Contact].[All]" allUniqueName="[Table2].[Contact].[All]" dimensionUniqueName="[Table2]" displayFolder="" count="0" memberValueDatatype="5"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Customer_Segment]" caption="Customer_Segment" attribute="1" defaultMemberUniqueName="[Table3].[Customer_Segment].[All]" allUniqueName="[Table3].[Customer_Segment].[All]" dimensionUniqueName="[Table3]" displayFolder="" count="0" memberValueDatatype="130" unbalanced="0"/>
    <cacheHierarchy uniqueName="[Table3].[Customer_Country]" caption="Customer_Country" attribute="1" defaultMemberUniqueName="[Table3].[Customer_Country].[All]" allUniqueName="[Table3].[Customer_Country].[All]" dimensionUniqueName="[Table3]" displayFolder="" count="0" memberValueDatatype="130" unbalanced="0"/>
    <cacheHierarchy uniqueName="[Table3].[Email]" caption="Email" attribute="1" defaultMemberUniqueName="[Table3].[Email].[All]" allUniqueName="[Table3].[Email].[All]" dimensionUniqueName="[Table3]"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otal_Price]" caption="Sum of Total_Price" measure="1" displayFolder="" measureGroup="Table1"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Tabl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0"/>
        </ext>
      </extLst>
    </cacheHierarchy>
    <cacheHierarchy uniqueName="[Measures].[Sum of Sale_ID]" caption="Sum of Sale_ID" measure="1" displayFolder="" measureGroup="Table1" count="0" hidden="1">
      <extLst>
        <ext xmlns:x15="http://schemas.microsoft.com/office/spreadsheetml/2010/11/main" uri="{B97F6D7D-B522-45F9-BDA1-12C45D357490}">
          <x15:cacheHierarchy aggregatedColumn="0"/>
        </ext>
      </extLst>
    </cacheHierarchy>
    <cacheHierarchy uniqueName="[Measures].[Count of Sale_ID]" caption="Count of Sale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Total_Price]" caption="Average of Total_Price"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8.336119328706" backgroundQuery="1" createdVersion="7" refreshedVersion="7" minRefreshableVersion="3" recordCount="0" supportSubquery="1" supportAdvancedDrill="1" xr:uid="{593A6403-69E1-4815-BF67-F5AE3941348B}">
  <cacheSource type="external" connectionId="2"/>
  <cacheFields count="3">
    <cacheField name="[Table1].[Country].[Country]" caption="Country" numFmtId="0" hierarchy="6" level="1">
      <sharedItems count="8">
        <s v="Algeria"/>
        <s v="Egypt"/>
        <s v="Jordan"/>
        <s v="KSA"/>
        <s v="Moroco"/>
        <s v="Qatar"/>
        <s v="Tunisia"/>
        <s v="UAE"/>
      </sharedItems>
    </cacheField>
    <cacheField name="[Measures].[Sum of Total_Price]" caption="Sum of Total_Price" numFmtId="0" hierarchy="26" level="32767"/>
    <cacheField name="[Table1].[Product].[Product]" caption="Product" numFmtId="0" hierarchy="1" level="1">
      <sharedItems containsSemiMixedTypes="0" containsNonDate="0" containsString="0"/>
    </cacheField>
  </cacheFields>
  <cacheHierarchies count="34">
    <cacheHierarchy uniqueName="[Table1].[Sale_ID]" caption="Sale_ID" attribute="1" defaultMemberUniqueName="[Table1].[Sale_ID].[All]" allUniqueName="[Table1].[Sale_ID].[All]" dimensionUniqueName="[Table1]" displayFolder="" count="0" memberValueDatatype="5" unbalanced="0"/>
    <cacheHierarchy uniqueName="[Table1].[Product]" caption="Product" attribute="1" defaultMemberUniqueName="[Table1].[Product].[All]" allUniqueName="[Table1].[Product].[All]" dimensionUniqueName="[Table1]" displayFolder="" count="2" memberValueDatatype="130" unbalanced="0">
      <fieldsUsage count="2">
        <fieldUsage x="-1"/>
        <fieldUsage x="2"/>
      </fieldsUsage>
    </cacheHierarchy>
    <cacheHierarchy uniqueName="[Table1].[Quantity]" caption="Quantity" attribute="1" defaultMemberUniqueName="[Table1].[Quantity].[All]" allUniqueName="[Table1].[Quantity].[All]" dimensionUniqueName="[Table1]" displayFolder="" count="0" memberValueDatatype="5" unbalanced="0"/>
    <cacheHierarchy uniqueName="[Table1].[Unit_Price]" caption="Unit_Price" attribute="1" defaultMemberUniqueName="[Table1].[Unit_Price].[All]" allUniqueName="[Table1].[Unit_Price].[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Customer]" caption="Customer" attribute="1" defaultMemberUniqueName="[Table1].[Customer].[All]" allUniqueName="[Table1].[Customer].[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Supplier_ID]" caption="Supplier_ID" attribute="1" defaultMemberUniqueName="[Table1].[Supplier_ID].[All]" allUniqueName="[Table1].[Supplier_ID].[All]" dimensionUniqueName="[Table1]" displayFolder="" count="0" memberValueDatatype="5" unbalanced="0"/>
    <cacheHierarchy uniqueName="[Table1].[Category]" caption="Category" attribute="1" defaultMemberUniqueName="[Table1].[Category].[All]" allUniqueName="[Table1].[Category].[All]" dimensionUniqueName="[Table1]" displayFolder="" count="2" memberValueDatatype="130" unbalanced="0"/>
    <cacheHierarchy uniqueName="[Table1].[Total_Price]" caption="Total_Price" attribute="1" defaultMemberUniqueName="[Table1].[Total_Price].[All]" allUniqueName="[Table1].[Total_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Date (Month)]" caption="Date (Month)" attribute="1" defaultMemberUniqueName="[Table1].[Date (Month)].[All]" allUniqueName="[Table1].[Date (Month)].[All]" dimensionUniqueName="[Table1]" displayFolder="" count="2" memberValueDatatype="130" unbalanced="0"/>
    <cacheHierarchy uniqueName="[Table2].[Supplier_ID]" caption="Supplier_ID" attribute="1" defaultMemberUniqueName="[Table2].[Supplier_ID].[All]" allUniqueName="[Table2].[Supplier_ID].[All]" dimensionUniqueName="[Table2]" displayFolder="" count="0" memberValueDatatype="5" unbalanced="0"/>
    <cacheHierarchy uniqueName="[Table2].[Supplier_Name]" caption="Supplier_Name" attribute="1" defaultMemberUniqueName="[Table2].[Supplier_Name].[All]" allUniqueName="[Table2].[Supplier_Name].[All]" dimensionUniqueName="[Table2]" displayFolder="" count="0" memberValueDatatype="130" unbalanced="0"/>
    <cacheHierarchy uniqueName="[Table2].[Supplier_Country]" caption="Supplier_Country" attribute="1" defaultMemberUniqueName="[Table2].[Supplier_Country].[All]" allUniqueName="[Table2].[Supplier_Country].[All]" dimensionUniqueName="[Table2]" displayFolder="" count="0" memberValueDatatype="130" unbalanced="0"/>
    <cacheHierarchy uniqueName="[Table2].[Contact]" caption="Contact" attribute="1" defaultMemberUniqueName="[Table2].[Contact].[All]" allUniqueName="[Table2].[Contact].[All]" dimensionUniqueName="[Table2]" displayFolder="" count="0" memberValueDatatype="5"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Customer_Segment]" caption="Customer_Segment" attribute="1" defaultMemberUniqueName="[Table3].[Customer_Segment].[All]" allUniqueName="[Table3].[Customer_Segment].[All]" dimensionUniqueName="[Table3]" displayFolder="" count="0" memberValueDatatype="130" unbalanced="0"/>
    <cacheHierarchy uniqueName="[Table3].[Customer_Country]" caption="Customer_Country" attribute="1" defaultMemberUniqueName="[Table3].[Customer_Country].[All]" allUniqueName="[Table3].[Customer_Country].[All]" dimensionUniqueName="[Table3]" displayFolder="" count="0" memberValueDatatype="130" unbalanced="0"/>
    <cacheHierarchy uniqueName="[Table3].[Email]" caption="Email" attribute="1" defaultMemberUniqueName="[Table3].[Email].[All]" allUniqueName="[Table3].[Email].[All]" dimensionUniqueName="[Table3]"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otal_Price]" caption="Sum of Total_Price"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Tabl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0"/>
        </ext>
      </extLst>
    </cacheHierarchy>
    <cacheHierarchy uniqueName="[Measures].[Sum of Sale_ID]" caption="Sum of Sale_ID" measure="1" displayFolder="" measureGroup="Table1" count="0" hidden="1">
      <extLst>
        <ext xmlns:x15="http://schemas.microsoft.com/office/spreadsheetml/2010/11/main" uri="{B97F6D7D-B522-45F9-BDA1-12C45D357490}">
          <x15:cacheHierarchy aggregatedColumn="0"/>
        </ext>
      </extLst>
    </cacheHierarchy>
    <cacheHierarchy uniqueName="[Measures].[Count of Sale_ID]" caption="Count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Total_Price]" caption="Average of Total_Price"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8.336119791667" backgroundQuery="1" createdVersion="7" refreshedVersion="7" minRefreshableVersion="3" recordCount="0" supportSubquery="1" supportAdvancedDrill="1" xr:uid="{8691BA06-4293-4BCE-9043-0A29C68DE971}">
  <cacheSource type="external" connectionId="2"/>
  <cacheFields count="4">
    <cacheField name="[Table1].[Date].[Date]" caption="Date" numFmtId="0" hierarchy="4" level="1">
      <sharedItems containsSemiMixedTypes="0" containsNonDate="0" containsDate="1" containsString="0" minDate="2023-01-01T00:00:00" maxDate="2024-01-01T00:00:00" count="365">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cacheField>
    <cacheField name="[Table1].[Date (Month)].[Date (Month)]" caption="Date (Month)" numFmtId="0" hierarchy="12" level="1">
      <sharedItems count="12">
        <s v="Jan"/>
        <s v="Feb"/>
        <s v="Mar"/>
        <s v="Apr"/>
        <s v="May"/>
        <s v="Jun"/>
        <s v="Jul"/>
        <s v="Aug"/>
        <s v="Sep"/>
        <s v="Oct"/>
        <s v="Nov"/>
        <s v="Dec"/>
      </sharedItems>
    </cacheField>
    <cacheField name="[Measures].[Sum of Profit]" caption="Sum of Profit" numFmtId="0" hierarchy="28" level="32767"/>
    <cacheField name="[Table1].[Product].[Product]" caption="Product" numFmtId="0" hierarchy="1" level="1">
      <sharedItems containsSemiMixedTypes="0" containsNonDate="0" containsString="0"/>
    </cacheField>
  </cacheFields>
  <cacheHierarchies count="34">
    <cacheHierarchy uniqueName="[Table1].[Sale_ID]" caption="Sale_ID" attribute="1" defaultMemberUniqueName="[Table1].[Sale_ID].[All]" allUniqueName="[Table1].[Sale_ID].[All]" dimensionUniqueName="[Table1]" displayFolder="" count="0" memberValueDatatype="5" unbalanced="0"/>
    <cacheHierarchy uniqueName="[Table1].[Product]" caption="Product" attribute="1" defaultMemberUniqueName="[Table1].[Product].[All]" allUniqueName="[Table1].[Product].[All]" dimensionUniqueName="[Table1]" displayFolder="" count="2" memberValueDatatype="130" unbalanced="0">
      <fieldsUsage count="2">
        <fieldUsage x="-1"/>
        <fieldUsage x="3"/>
      </fieldsUsage>
    </cacheHierarchy>
    <cacheHierarchy uniqueName="[Table1].[Quantity]" caption="Quantity" attribute="1" defaultMemberUniqueName="[Table1].[Quantity].[All]" allUniqueName="[Table1].[Quantity].[All]" dimensionUniqueName="[Table1]" displayFolder="" count="0" memberValueDatatype="5" unbalanced="0"/>
    <cacheHierarchy uniqueName="[Table1].[Unit_Price]" caption="Unit_Price" attribute="1" defaultMemberUniqueName="[Table1].[Unit_Price].[All]" allUniqueName="[Table1].[Unit_Price].[All]" dimensionUniqueName="[Table1]" displayFolder="" count="0" memberValueDatatype="5" unbalanced="0"/>
    <cacheHierarchy uniqueName="[Table1].[Date]" caption="Date" attribute="1" time="1" defaultMemberUniqueName="[Table1].[Date].[All]" allUniqueName="[Table1].[Date].[All]" dimensionUniqueName="[Table1]" displayFolder="" count="2" memberValueDatatype="7" unbalanced="0">
      <fieldsUsage count="2">
        <fieldUsage x="-1"/>
        <fieldUsage x="0"/>
      </fieldsUsage>
    </cacheHierarchy>
    <cacheHierarchy uniqueName="[Table1].[Customer]" caption="Customer" attribute="1" defaultMemberUniqueName="[Table1].[Customer].[All]" allUniqueName="[Table1].[Customer].[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Supplier_ID]" caption="Supplier_ID" attribute="1" defaultMemberUniqueName="[Table1].[Supplier_ID].[All]" allUniqueName="[Table1].[Supplier_ID].[All]" dimensionUniqueName="[Table1]" displayFolder="" count="0" memberValueDatatype="5" unbalanced="0"/>
    <cacheHierarchy uniqueName="[Table1].[Category]" caption="Category" attribute="1" defaultMemberUniqueName="[Table1].[Category].[All]" allUniqueName="[Table1].[Category].[All]" dimensionUniqueName="[Table1]" displayFolder="" count="2" memberValueDatatype="130" unbalanced="0"/>
    <cacheHierarchy uniqueName="[Table1].[Total_Price]" caption="Total_Price" attribute="1" defaultMemberUniqueName="[Table1].[Total_Price].[All]" allUniqueName="[Table1].[Total_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1"/>
      </fieldsUsage>
    </cacheHierarchy>
    <cacheHierarchy uniqueName="[Table2].[Supplier_ID]" caption="Supplier_ID" attribute="1" defaultMemberUniqueName="[Table2].[Supplier_ID].[All]" allUniqueName="[Table2].[Supplier_ID].[All]" dimensionUniqueName="[Table2]" displayFolder="" count="0" memberValueDatatype="5" unbalanced="0"/>
    <cacheHierarchy uniqueName="[Table2].[Supplier_Name]" caption="Supplier_Name" attribute="1" defaultMemberUniqueName="[Table2].[Supplier_Name].[All]" allUniqueName="[Table2].[Supplier_Name].[All]" dimensionUniqueName="[Table2]" displayFolder="" count="0" memberValueDatatype="130" unbalanced="0"/>
    <cacheHierarchy uniqueName="[Table2].[Supplier_Country]" caption="Supplier_Country" attribute="1" defaultMemberUniqueName="[Table2].[Supplier_Country].[All]" allUniqueName="[Table2].[Supplier_Country].[All]" dimensionUniqueName="[Table2]" displayFolder="" count="0" memberValueDatatype="130" unbalanced="0"/>
    <cacheHierarchy uniqueName="[Table2].[Contact]" caption="Contact" attribute="1" defaultMemberUniqueName="[Table2].[Contact].[All]" allUniqueName="[Table2].[Contact].[All]" dimensionUniqueName="[Table2]" displayFolder="" count="0" memberValueDatatype="5"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Customer_Segment]" caption="Customer_Segment" attribute="1" defaultMemberUniqueName="[Table3].[Customer_Segment].[All]" allUniqueName="[Table3].[Customer_Segment].[All]" dimensionUniqueName="[Table3]" displayFolder="" count="0" memberValueDatatype="130" unbalanced="0"/>
    <cacheHierarchy uniqueName="[Table3].[Customer_Country]" caption="Customer_Country" attribute="1" defaultMemberUniqueName="[Table3].[Customer_Country].[All]" allUniqueName="[Table3].[Customer_Country].[All]" dimensionUniqueName="[Table3]" displayFolder="" count="0" memberValueDatatype="130" unbalanced="0"/>
    <cacheHierarchy uniqueName="[Table3].[Email]" caption="Email" attribute="1" defaultMemberUniqueName="[Table3].[Email].[All]" allUniqueName="[Table3].[Email].[All]" dimensionUniqueName="[Table3]"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otal_Price]" caption="Sum of Total_Price" measure="1" displayFolder="" measureGroup="Table1"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Tabl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Sale_ID]" caption="Sum of Sale_ID" measure="1" displayFolder="" measureGroup="Table1" count="0" hidden="1">
      <extLst>
        <ext xmlns:x15="http://schemas.microsoft.com/office/spreadsheetml/2010/11/main" uri="{B97F6D7D-B522-45F9-BDA1-12C45D357490}">
          <x15:cacheHierarchy aggregatedColumn="0"/>
        </ext>
      </extLst>
    </cacheHierarchy>
    <cacheHierarchy uniqueName="[Measures].[Count of Sale_ID]" caption="Count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Total_Price]" caption="Average of Total_Price"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8.336120254629" backgroundQuery="1" createdVersion="7" refreshedVersion="7" minRefreshableVersion="3" recordCount="0" supportSubquery="1" supportAdvancedDrill="1" xr:uid="{D4FCC0E6-B688-479E-AD38-3D9A892098FD}">
  <cacheSource type="external" connectionId="2"/>
  <cacheFields count="4">
    <cacheField name="[Table1].[Date].[Date]" caption="Date" numFmtId="0" hierarchy="4" level="1">
      <sharedItems containsSemiMixedTypes="0" containsNonDate="0" containsDate="1" containsString="0" minDate="2023-01-01T00:00:00" maxDate="2024-01-01T00:00:00" count="365">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cacheField>
    <cacheField name="[Table1].[Date (Month)].[Date (Month)]" caption="Date (Month)" numFmtId="0" hierarchy="12" level="1">
      <sharedItems count="12">
        <s v="Jan"/>
        <s v="Feb"/>
        <s v="Mar"/>
        <s v="Apr"/>
        <s v="May"/>
        <s v="Jun"/>
        <s v="Jul"/>
        <s v="Aug"/>
        <s v="Sep"/>
        <s v="Oct"/>
        <s v="Nov"/>
        <s v="Dec"/>
      </sharedItems>
    </cacheField>
    <cacheField name="[Measures].[Sum of Total_Price]" caption="Sum of Total_Price" numFmtId="0" hierarchy="26" level="32767"/>
    <cacheField name="[Table1].[Product].[Product]" caption="Product" numFmtId="0" hierarchy="1" level="1">
      <sharedItems containsSemiMixedTypes="0" containsNonDate="0" containsString="0"/>
    </cacheField>
  </cacheFields>
  <cacheHierarchies count="34">
    <cacheHierarchy uniqueName="[Table1].[Sale_ID]" caption="Sale_ID" attribute="1" defaultMemberUniqueName="[Table1].[Sale_ID].[All]" allUniqueName="[Table1].[Sale_ID].[All]" dimensionUniqueName="[Table1]" displayFolder="" count="0" memberValueDatatype="5" unbalanced="0"/>
    <cacheHierarchy uniqueName="[Table1].[Product]" caption="Product" attribute="1" defaultMemberUniqueName="[Table1].[Product].[All]" allUniqueName="[Table1].[Product].[All]" dimensionUniqueName="[Table1]" displayFolder="" count="2" memberValueDatatype="130" unbalanced="0">
      <fieldsUsage count="2">
        <fieldUsage x="-1"/>
        <fieldUsage x="3"/>
      </fieldsUsage>
    </cacheHierarchy>
    <cacheHierarchy uniqueName="[Table1].[Quantity]" caption="Quantity" attribute="1" defaultMemberUniqueName="[Table1].[Quantity].[All]" allUniqueName="[Table1].[Quantity].[All]" dimensionUniqueName="[Table1]" displayFolder="" count="0" memberValueDatatype="5" unbalanced="0"/>
    <cacheHierarchy uniqueName="[Table1].[Unit_Price]" caption="Unit_Price" attribute="1" defaultMemberUniqueName="[Table1].[Unit_Price].[All]" allUniqueName="[Table1].[Unit_Price].[All]" dimensionUniqueName="[Table1]" displayFolder="" count="0" memberValueDatatype="5" unbalanced="0"/>
    <cacheHierarchy uniqueName="[Table1].[Date]" caption="Date" attribute="1" time="1" defaultMemberUniqueName="[Table1].[Date].[All]" allUniqueName="[Table1].[Date].[All]" dimensionUniqueName="[Table1]" displayFolder="" count="2" memberValueDatatype="7" unbalanced="0">
      <fieldsUsage count="2">
        <fieldUsage x="-1"/>
        <fieldUsage x="0"/>
      </fieldsUsage>
    </cacheHierarchy>
    <cacheHierarchy uniqueName="[Table1].[Customer]" caption="Customer" attribute="1" defaultMemberUniqueName="[Table1].[Customer].[All]" allUniqueName="[Table1].[Customer].[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Supplier_ID]" caption="Supplier_ID" attribute="1" defaultMemberUniqueName="[Table1].[Supplier_ID].[All]" allUniqueName="[Table1].[Supplier_ID].[All]" dimensionUniqueName="[Table1]" displayFolder="" count="0" memberValueDatatype="5" unbalanced="0"/>
    <cacheHierarchy uniqueName="[Table1].[Category]" caption="Category" attribute="1" defaultMemberUniqueName="[Table1].[Category].[All]" allUniqueName="[Table1].[Category].[All]" dimensionUniqueName="[Table1]" displayFolder="" count="2" memberValueDatatype="130" unbalanced="0"/>
    <cacheHierarchy uniqueName="[Table1].[Total_Price]" caption="Total_Price" attribute="1" defaultMemberUniqueName="[Table1].[Total_Price].[All]" allUniqueName="[Table1].[Total_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1"/>
      </fieldsUsage>
    </cacheHierarchy>
    <cacheHierarchy uniqueName="[Table2].[Supplier_ID]" caption="Supplier_ID" attribute="1" defaultMemberUniqueName="[Table2].[Supplier_ID].[All]" allUniqueName="[Table2].[Supplier_ID].[All]" dimensionUniqueName="[Table2]" displayFolder="" count="0" memberValueDatatype="5" unbalanced="0"/>
    <cacheHierarchy uniqueName="[Table2].[Supplier_Name]" caption="Supplier_Name" attribute="1" defaultMemberUniqueName="[Table2].[Supplier_Name].[All]" allUniqueName="[Table2].[Supplier_Name].[All]" dimensionUniqueName="[Table2]" displayFolder="" count="0" memberValueDatatype="130" unbalanced="0"/>
    <cacheHierarchy uniqueName="[Table2].[Supplier_Country]" caption="Supplier_Country" attribute="1" defaultMemberUniqueName="[Table2].[Supplier_Country].[All]" allUniqueName="[Table2].[Supplier_Country].[All]" dimensionUniqueName="[Table2]" displayFolder="" count="0" memberValueDatatype="130" unbalanced="0"/>
    <cacheHierarchy uniqueName="[Table2].[Contact]" caption="Contact" attribute="1" defaultMemberUniqueName="[Table2].[Contact].[All]" allUniqueName="[Table2].[Contact].[All]" dimensionUniqueName="[Table2]" displayFolder="" count="0" memberValueDatatype="5"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Customer_Segment]" caption="Customer_Segment" attribute="1" defaultMemberUniqueName="[Table3].[Customer_Segment].[All]" allUniqueName="[Table3].[Customer_Segment].[All]" dimensionUniqueName="[Table3]" displayFolder="" count="0" memberValueDatatype="130" unbalanced="0"/>
    <cacheHierarchy uniqueName="[Table3].[Customer_Country]" caption="Customer_Country" attribute="1" defaultMemberUniqueName="[Table3].[Customer_Country].[All]" allUniqueName="[Table3].[Customer_Country].[All]" dimensionUniqueName="[Table3]" displayFolder="" count="0" memberValueDatatype="130" unbalanced="0"/>
    <cacheHierarchy uniqueName="[Table3].[Email]" caption="Email" attribute="1" defaultMemberUniqueName="[Table3].[Email].[All]" allUniqueName="[Table3].[Email].[All]" dimensionUniqueName="[Table3]"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otal_Price]" caption="Sum of Total_Price"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Tabl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0"/>
        </ext>
      </extLst>
    </cacheHierarchy>
    <cacheHierarchy uniqueName="[Measures].[Sum of Sale_ID]" caption="Sum of Sale_ID" measure="1" displayFolder="" measureGroup="Table1" count="0" hidden="1">
      <extLst>
        <ext xmlns:x15="http://schemas.microsoft.com/office/spreadsheetml/2010/11/main" uri="{B97F6D7D-B522-45F9-BDA1-12C45D357490}">
          <x15:cacheHierarchy aggregatedColumn="0"/>
        </ext>
      </extLst>
    </cacheHierarchy>
    <cacheHierarchy uniqueName="[Measures].[Count of Sale_ID]" caption="Count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Total_Price]" caption="Average of Total_Price"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8.336120949076" backgroundQuery="1" createdVersion="7" refreshedVersion="7" minRefreshableVersion="3" recordCount="0" supportSubquery="1" supportAdvancedDrill="1" xr:uid="{2CCA5FE8-AF48-41B7-90F0-DD194F8BF8DB}">
  <cacheSource type="external" connectionId="2"/>
  <cacheFields count="2">
    <cacheField name="[Table1].[Product].[Product]" caption="Product" numFmtId="0" hierarchy="1" level="1">
      <sharedItems count="10">
        <s v="Camera"/>
        <s v="Charger"/>
        <s v="Headphones"/>
        <s v="Keyboard"/>
        <s v="Laptop"/>
        <s v="Monitor"/>
        <s v="Mouse"/>
        <s v="Printer"/>
        <s v="Smartphone"/>
        <s v="Tablet"/>
      </sharedItems>
    </cacheField>
    <cacheField name="[Measures].[Sum of Profit]" caption="Sum of Profit" numFmtId="0" hierarchy="28" level="32767"/>
  </cacheFields>
  <cacheHierarchies count="34">
    <cacheHierarchy uniqueName="[Table1].[Sale_ID]" caption="Sale_ID" attribute="1" defaultMemberUniqueName="[Table1].[Sale_ID].[All]" allUniqueName="[Table1].[Sale_ID].[All]" dimensionUniqueName="[Table1]" displayFolder="" count="0" memberValueDatatype="5"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5" unbalanced="0"/>
    <cacheHierarchy uniqueName="[Table1].[Unit_Price]" caption="Unit_Price" attribute="1" defaultMemberUniqueName="[Table1].[Unit_Price].[All]" allUniqueName="[Table1].[Unit_Price].[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Customer]" caption="Customer" attribute="1" defaultMemberUniqueName="[Table1].[Customer].[All]" allUniqueName="[Table1].[Customer].[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Supplier_ID]" caption="Supplier_ID" attribute="1" defaultMemberUniqueName="[Table1].[Supplier_ID].[All]" allUniqueName="[Table1].[Supplier_ID].[All]" dimensionUniqueName="[Table1]" displayFolder="" count="0" memberValueDatatype="5" unbalanced="0"/>
    <cacheHierarchy uniqueName="[Table1].[Category]" caption="Category" attribute="1" defaultMemberUniqueName="[Table1].[Category].[All]" allUniqueName="[Table1].[Category].[All]" dimensionUniqueName="[Table1]" displayFolder="" count="2" memberValueDatatype="130" unbalanced="0"/>
    <cacheHierarchy uniqueName="[Table1].[Total_Price]" caption="Total_Price" attribute="1" defaultMemberUniqueName="[Table1].[Total_Price].[All]" allUniqueName="[Table1].[Total_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Date (Month)]" caption="Date (Month)" attribute="1" defaultMemberUniqueName="[Table1].[Date (Month)].[All]" allUniqueName="[Table1].[Date (Month)].[All]" dimensionUniqueName="[Table1]" displayFolder="" count="2" memberValueDatatype="130" unbalanced="0"/>
    <cacheHierarchy uniqueName="[Table2].[Supplier_ID]" caption="Supplier_ID" attribute="1" defaultMemberUniqueName="[Table2].[Supplier_ID].[All]" allUniqueName="[Table2].[Supplier_ID].[All]" dimensionUniqueName="[Table2]" displayFolder="" count="0" memberValueDatatype="5" unbalanced="0"/>
    <cacheHierarchy uniqueName="[Table2].[Supplier_Name]" caption="Supplier_Name" attribute="1" defaultMemberUniqueName="[Table2].[Supplier_Name].[All]" allUniqueName="[Table2].[Supplier_Name].[All]" dimensionUniqueName="[Table2]" displayFolder="" count="0" memberValueDatatype="130" unbalanced="0"/>
    <cacheHierarchy uniqueName="[Table2].[Supplier_Country]" caption="Supplier_Country" attribute="1" defaultMemberUniqueName="[Table2].[Supplier_Country].[All]" allUniqueName="[Table2].[Supplier_Country].[All]" dimensionUniqueName="[Table2]" displayFolder="" count="0" memberValueDatatype="130" unbalanced="0"/>
    <cacheHierarchy uniqueName="[Table2].[Contact]" caption="Contact" attribute="1" defaultMemberUniqueName="[Table2].[Contact].[All]" allUniqueName="[Table2].[Contact].[All]" dimensionUniqueName="[Table2]" displayFolder="" count="0" memberValueDatatype="5"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Customer_Segment]" caption="Customer_Segment" attribute="1" defaultMemberUniqueName="[Table3].[Customer_Segment].[All]" allUniqueName="[Table3].[Customer_Segment].[All]" dimensionUniqueName="[Table3]" displayFolder="" count="0" memberValueDatatype="130" unbalanced="0"/>
    <cacheHierarchy uniqueName="[Table3].[Customer_Country]" caption="Customer_Country" attribute="1" defaultMemberUniqueName="[Table3].[Customer_Country].[All]" allUniqueName="[Table3].[Customer_Country].[All]" dimensionUniqueName="[Table3]" displayFolder="" count="0" memberValueDatatype="130" unbalanced="0"/>
    <cacheHierarchy uniqueName="[Table3].[Email]" caption="Email" attribute="1" defaultMemberUniqueName="[Table3].[Email].[All]" allUniqueName="[Table3].[Email].[All]" dimensionUniqueName="[Table3]"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otal_Price]" caption="Sum of Total_Price" measure="1" displayFolder="" measureGroup="Table1"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Tabl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Sale_ID]" caption="Sum of Sale_ID" measure="1" displayFolder="" measureGroup="Table1" count="0" hidden="1">
      <extLst>
        <ext xmlns:x15="http://schemas.microsoft.com/office/spreadsheetml/2010/11/main" uri="{B97F6D7D-B522-45F9-BDA1-12C45D357490}">
          <x15:cacheHierarchy aggregatedColumn="0"/>
        </ext>
      </extLst>
    </cacheHierarchy>
    <cacheHierarchy uniqueName="[Measures].[Count of Sale_ID]" caption="Count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Total_Price]" caption="Average of Total_Price"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8.336121412038" backgroundQuery="1" createdVersion="7" refreshedVersion="7" minRefreshableVersion="3" recordCount="0" supportSubquery="1" supportAdvancedDrill="1" xr:uid="{3BE8CC0B-F7F8-4B3B-B77B-06AA64ED9AA2}">
  <cacheSource type="external" connectionId="2"/>
  <cacheFields count="2">
    <cacheField name="[Table1].[Product].[Product]" caption="Product" numFmtId="0" hierarchy="1" level="1">
      <sharedItems count="10">
        <s v="Camera"/>
        <s v="Charger"/>
        <s v="Headphones"/>
        <s v="Keyboard"/>
        <s v="Laptop"/>
        <s v="Monitor"/>
        <s v="Mouse"/>
        <s v="Printer"/>
        <s v="Smartphone"/>
        <s v="Tablet"/>
      </sharedItems>
    </cacheField>
    <cacheField name="[Measures].[Sum of Quantity]" caption="Sum of Quantity" numFmtId="0" hierarchy="33" level="32767"/>
  </cacheFields>
  <cacheHierarchies count="34">
    <cacheHierarchy uniqueName="[Table1].[Sale_ID]" caption="Sale_ID" attribute="1" defaultMemberUniqueName="[Table1].[Sale_ID].[All]" allUniqueName="[Table1].[Sale_ID].[All]" dimensionUniqueName="[Table1]" displayFolder="" count="0" memberValueDatatype="5"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5" unbalanced="0"/>
    <cacheHierarchy uniqueName="[Table1].[Unit_Price]" caption="Unit_Price" attribute="1" defaultMemberUniqueName="[Table1].[Unit_Price].[All]" allUniqueName="[Table1].[Unit_Price].[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Customer]" caption="Customer" attribute="1" defaultMemberUniqueName="[Table1].[Customer].[All]" allUniqueName="[Table1].[Customer].[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Supplier_ID]" caption="Supplier_ID" attribute="1" defaultMemberUniqueName="[Table1].[Supplier_ID].[All]" allUniqueName="[Table1].[Supplier_ID].[All]" dimensionUniqueName="[Table1]" displayFolder="" count="0" memberValueDatatype="5" unbalanced="0"/>
    <cacheHierarchy uniqueName="[Table1].[Category]" caption="Category" attribute="1" defaultMemberUniqueName="[Table1].[Category].[All]" allUniqueName="[Table1].[Category].[All]" dimensionUniqueName="[Table1]" displayFolder="" count="2" memberValueDatatype="130" unbalanced="0"/>
    <cacheHierarchy uniqueName="[Table1].[Total_Price]" caption="Total_Price" attribute="1" defaultMemberUniqueName="[Table1].[Total_Price].[All]" allUniqueName="[Table1].[Total_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Date (Month)]" caption="Date (Month)" attribute="1" defaultMemberUniqueName="[Table1].[Date (Month)].[All]" allUniqueName="[Table1].[Date (Month)].[All]" dimensionUniqueName="[Table1]" displayFolder="" count="2" memberValueDatatype="130" unbalanced="0"/>
    <cacheHierarchy uniqueName="[Table2].[Supplier_ID]" caption="Supplier_ID" attribute="1" defaultMemberUniqueName="[Table2].[Supplier_ID].[All]" allUniqueName="[Table2].[Supplier_ID].[All]" dimensionUniqueName="[Table2]" displayFolder="" count="0" memberValueDatatype="5" unbalanced="0"/>
    <cacheHierarchy uniqueName="[Table2].[Supplier_Name]" caption="Supplier_Name" attribute="1" defaultMemberUniqueName="[Table2].[Supplier_Name].[All]" allUniqueName="[Table2].[Supplier_Name].[All]" dimensionUniqueName="[Table2]" displayFolder="" count="0" memberValueDatatype="130" unbalanced="0"/>
    <cacheHierarchy uniqueName="[Table2].[Supplier_Country]" caption="Supplier_Country" attribute="1" defaultMemberUniqueName="[Table2].[Supplier_Country].[All]" allUniqueName="[Table2].[Supplier_Country].[All]" dimensionUniqueName="[Table2]" displayFolder="" count="0" memberValueDatatype="130" unbalanced="0"/>
    <cacheHierarchy uniqueName="[Table2].[Contact]" caption="Contact" attribute="1" defaultMemberUniqueName="[Table2].[Contact].[All]" allUniqueName="[Table2].[Contact].[All]" dimensionUniqueName="[Table2]" displayFolder="" count="0" memberValueDatatype="5"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Customer_Segment]" caption="Customer_Segment" attribute="1" defaultMemberUniqueName="[Table3].[Customer_Segment].[All]" allUniqueName="[Table3].[Customer_Segment].[All]" dimensionUniqueName="[Table3]" displayFolder="" count="0" memberValueDatatype="130" unbalanced="0"/>
    <cacheHierarchy uniqueName="[Table3].[Customer_Country]" caption="Customer_Country" attribute="1" defaultMemberUniqueName="[Table3].[Customer_Country].[All]" allUniqueName="[Table3].[Customer_Country].[All]" dimensionUniqueName="[Table3]" displayFolder="" count="0" memberValueDatatype="130" unbalanced="0"/>
    <cacheHierarchy uniqueName="[Table3].[Email]" caption="Email" attribute="1" defaultMemberUniqueName="[Table3].[Email].[All]" allUniqueName="[Table3].[Email].[All]" dimensionUniqueName="[Table3]"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otal_Price]" caption="Sum of Total_Price" measure="1" displayFolder="" measureGroup="Table1"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Tabl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0"/>
        </ext>
      </extLst>
    </cacheHierarchy>
    <cacheHierarchy uniqueName="[Measures].[Sum of Sale_ID]" caption="Sum of Sale_ID" measure="1" displayFolder="" measureGroup="Table1" count="0" hidden="1">
      <extLst>
        <ext xmlns:x15="http://schemas.microsoft.com/office/spreadsheetml/2010/11/main" uri="{B97F6D7D-B522-45F9-BDA1-12C45D357490}">
          <x15:cacheHierarchy aggregatedColumn="0"/>
        </ext>
      </extLst>
    </cacheHierarchy>
    <cacheHierarchy uniqueName="[Measures].[Count of Sale_ID]" caption="Count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Total_Price]" caption="Average of Total_Price"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8.348626736108" backgroundQuery="1" createdVersion="7" refreshedVersion="7" minRefreshableVersion="3" recordCount="0" supportSubquery="1" supportAdvancedDrill="1" xr:uid="{C5171205-B216-423D-B022-D096F19B9505}">
  <cacheSource type="external" connectionId="2"/>
  <cacheFields count="1">
    <cacheField name="[Measures].[Sum of Total_Price]" caption="Sum of Total_Price" numFmtId="0" hierarchy="26" level="32767"/>
  </cacheFields>
  <cacheHierarchies count="34">
    <cacheHierarchy uniqueName="[Table1].[Sale_ID]" caption="Sale_ID" attribute="1" defaultMemberUniqueName="[Table1].[Sale_ID].[All]" allUniqueName="[Table1].[Sale_ID].[All]" dimensionUniqueName="[Table1]" displayFolder="" count="0" memberValueDatatype="5" unbalanced="0"/>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5" unbalanced="0"/>
    <cacheHierarchy uniqueName="[Table1].[Unit_Price]" caption="Unit_Price" attribute="1" defaultMemberUniqueName="[Table1].[Unit_Price].[All]" allUniqueName="[Table1].[Unit_Price].[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Customer]" caption="Customer" attribute="1" defaultMemberUniqueName="[Table1].[Customer].[All]" allUniqueName="[Table1].[Customer].[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Supplier_ID]" caption="Supplier_ID" attribute="1" defaultMemberUniqueName="[Table1].[Supplier_ID].[All]" allUniqueName="[Table1].[Supplier_ID].[All]" dimensionUniqueName="[Table1]" displayFolder="" count="0" memberValueDatatype="5" unbalanced="0"/>
    <cacheHierarchy uniqueName="[Table1].[Category]" caption="Category" attribute="1" defaultMemberUniqueName="[Table1].[Category].[All]" allUniqueName="[Table1].[Category].[All]" dimensionUniqueName="[Table1]" displayFolder="" count="2" memberValueDatatype="130" unbalanced="0"/>
    <cacheHierarchy uniqueName="[Table1].[Total_Price]" caption="Total_Price" attribute="1" defaultMemberUniqueName="[Table1].[Total_Price].[All]" allUniqueName="[Table1].[Total_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Date (Month)]" caption="Date (Month)" attribute="1" defaultMemberUniqueName="[Table1].[Date (Month)].[All]" allUniqueName="[Table1].[Date (Month)].[All]" dimensionUniqueName="[Table1]" displayFolder="" count="2" memberValueDatatype="130" unbalanced="0"/>
    <cacheHierarchy uniqueName="[Table2].[Supplier_ID]" caption="Supplier_ID" attribute="1" defaultMemberUniqueName="[Table2].[Supplier_ID].[All]" allUniqueName="[Table2].[Supplier_ID].[All]" dimensionUniqueName="[Table2]" displayFolder="" count="0" memberValueDatatype="5" unbalanced="0"/>
    <cacheHierarchy uniqueName="[Table2].[Supplier_Name]" caption="Supplier_Name" attribute="1" defaultMemberUniqueName="[Table2].[Supplier_Name].[All]" allUniqueName="[Table2].[Supplier_Name].[All]" dimensionUniqueName="[Table2]" displayFolder="" count="0" memberValueDatatype="130" unbalanced="0"/>
    <cacheHierarchy uniqueName="[Table2].[Supplier_Country]" caption="Supplier_Country" attribute="1" defaultMemberUniqueName="[Table2].[Supplier_Country].[All]" allUniqueName="[Table2].[Supplier_Country].[All]" dimensionUniqueName="[Table2]" displayFolder="" count="0" memberValueDatatype="130" unbalanced="0"/>
    <cacheHierarchy uniqueName="[Table2].[Contact]" caption="Contact" attribute="1" defaultMemberUniqueName="[Table2].[Contact].[All]" allUniqueName="[Table2].[Contact].[All]" dimensionUniqueName="[Table2]" displayFolder="" count="0" memberValueDatatype="5"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Customer_Segment]" caption="Customer_Segment" attribute="1" defaultMemberUniqueName="[Table3].[Customer_Segment].[All]" allUniqueName="[Table3].[Customer_Segment].[All]" dimensionUniqueName="[Table3]" displayFolder="" count="0" memberValueDatatype="130" unbalanced="0"/>
    <cacheHierarchy uniqueName="[Table3].[Customer_Country]" caption="Customer_Country" attribute="1" defaultMemberUniqueName="[Table3].[Customer_Country].[All]" allUniqueName="[Table3].[Customer_Country].[All]" dimensionUniqueName="[Table3]" displayFolder="" count="0" memberValueDatatype="130" unbalanced="0"/>
    <cacheHierarchy uniqueName="[Table3].[Email]" caption="Email" attribute="1" defaultMemberUniqueName="[Table3].[Email].[All]" allUniqueName="[Table3].[Email].[All]" dimensionUniqueName="[Table3]"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otal_Price]" caption="Sum of Total_Price"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Tabl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0"/>
        </ext>
      </extLst>
    </cacheHierarchy>
    <cacheHierarchy uniqueName="[Measures].[Sum of Sale_ID]" caption="Sum of Sale_ID" measure="1" displayFolder="" measureGroup="Table1" count="0" hidden="1">
      <extLst>
        <ext xmlns:x15="http://schemas.microsoft.com/office/spreadsheetml/2010/11/main" uri="{B97F6D7D-B522-45F9-BDA1-12C45D357490}">
          <x15:cacheHierarchy aggregatedColumn="0"/>
        </ext>
      </extLst>
    </cacheHierarchy>
    <cacheHierarchy uniqueName="[Measures].[Count of Sale_ID]" caption="Count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Total_Price]" caption="Average of Total_Price"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8.354591087962" backgroundQuery="1" createdVersion="7" refreshedVersion="7" minRefreshableVersion="3" recordCount="0" supportSubquery="1" supportAdvancedDrill="1" xr:uid="{5A52C1D7-60F4-42D2-982E-B1F1B701D233}">
  <cacheSource type="external" connectionId="2"/>
  <cacheFields count="1">
    <cacheField name="[Measures].[Count of Sale_ID]" caption="Count of Sale_ID" numFmtId="0" hierarchy="30" level="32767"/>
  </cacheFields>
  <cacheHierarchies count="34">
    <cacheHierarchy uniqueName="[Table1].[Sale_ID]" caption="Sale_ID" attribute="1" defaultMemberUniqueName="[Table1].[Sale_ID].[All]" allUniqueName="[Table1].[Sale_ID].[All]" dimensionUniqueName="[Table1]" displayFolder="" count="0" memberValueDatatype="5" unbalanced="0"/>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5" unbalanced="0"/>
    <cacheHierarchy uniqueName="[Table1].[Unit_Price]" caption="Unit_Price" attribute="1" defaultMemberUniqueName="[Table1].[Unit_Price].[All]" allUniqueName="[Table1].[Unit_Price].[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Customer]" caption="Customer" attribute="1" defaultMemberUniqueName="[Table1].[Customer].[All]" allUniqueName="[Table1].[Customer].[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Supplier_ID]" caption="Supplier_ID" attribute="1" defaultMemberUniqueName="[Table1].[Supplier_ID].[All]" allUniqueName="[Table1].[Supplier_ID].[All]" dimensionUniqueName="[Table1]" displayFolder="" count="0" memberValueDatatype="5" unbalanced="0"/>
    <cacheHierarchy uniqueName="[Table1].[Category]" caption="Category" attribute="1" defaultMemberUniqueName="[Table1].[Category].[All]" allUniqueName="[Table1].[Category].[All]" dimensionUniqueName="[Table1]" displayFolder="" count="2" memberValueDatatype="130" unbalanced="0"/>
    <cacheHierarchy uniqueName="[Table1].[Total_Price]" caption="Total_Price" attribute="1" defaultMemberUniqueName="[Table1].[Total_Price].[All]" allUniqueName="[Table1].[Total_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Date (Month)]" caption="Date (Month)" attribute="1" defaultMemberUniqueName="[Table1].[Date (Month)].[All]" allUniqueName="[Table1].[Date (Month)].[All]" dimensionUniqueName="[Table1]" displayFolder="" count="2" memberValueDatatype="130" unbalanced="0"/>
    <cacheHierarchy uniqueName="[Table2].[Supplier_ID]" caption="Supplier_ID" attribute="1" defaultMemberUniqueName="[Table2].[Supplier_ID].[All]" allUniqueName="[Table2].[Supplier_ID].[All]" dimensionUniqueName="[Table2]" displayFolder="" count="0" memberValueDatatype="5" unbalanced="0"/>
    <cacheHierarchy uniqueName="[Table2].[Supplier_Name]" caption="Supplier_Name" attribute="1" defaultMemberUniqueName="[Table2].[Supplier_Name].[All]" allUniqueName="[Table2].[Supplier_Name].[All]" dimensionUniqueName="[Table2]" displayFolder="" count="0" memberValueDatatype="130" unbalanced="0"/>
    <cacheHierarchy uniqueName="[Table2].[Supplier_Country]" caption="Supplier_Country" attribute="1" defaultMemberUniqueName="[Table2].[Supplier_Country].[All]" allUniqueName="[Table2].[Supplier_Country].[All]" dimensionUniqueName="[Table2]" displayFolder="" count="0" memberValueDatatype="130" unbalanced="0"/>
    <cacheHierarchy uniqueName="[Table2].[Contact]" caption="Contact" attribute="1" defaultMemberUniqueName="[Table2].[Contact].[All]" allUniqueName="[Table2].[Contact].[All]" dimensionUniqueName="[Table2]" displayFolder="" count="0" memberValueDatatype="5"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Customer_Segment]" caption="Customer_Segment" attribute="1" defaultMemberUniqueName="[Table3].[Customer_Segment].[All]" allUniqueName="[Table3].[Customer_Segment].[All]" dimensionUniqueName="[Table3]" displayFolder="" count="0" memberValueDatatype="130" unbalanced="0"/>
    <cacheHierarchy uniqueName="[Table3].[Customer_Country]" caption="Customer_Country" attribute="1" defaultMemberUniqueName="[Table3].[Customer_Country].[All]" allUniqueName="[Table3].[Customer_Country].[All]" dimensionUniqueName="[Table3]" displayFolder="" count="0" memberValueDatatype="130" unbalanced="0"/>
    <cacheHierarchy uniqueName="[Table3].[Email]" caption="Email" attribute="1" defaultMemberUniqueName="[Table3].[Email].[All]" allUniqueName="[Table3].[Email].[All]" dimensionUniqueName="[Table3]"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otal_Price]" caption="Sum of Total_Price" measure="1" displayFolder="" measureGroup="Table1"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Tabl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0"/>
        </ext>
      </extLst>
    </cacheHierarchy>
    <cacheHierarchy uniqueName="[Measures].[Sum of Sale_ID]" caption="Sum of Sale_ID" measure="1" displayFolder="" measureGroup="Table1" count="0" hidden="1">
      <extLst>
        <ext xmlns:x15="http://schemas.microsoft.com/office/spreadsheetml/2010/11/main" uri="{B97F6D7D-B522-45F9-BDA1-12C45D357490}">
          <x15:cacheHierarchy aggregatedColumn="0"/>
        </ext>
      </extLst>
    </cacheHierarchy>
    <cacheHierarchy uniqueName="[Measures].[Count of Sale_ID]" caption="Count of Sale_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Average of Total_Price]" caption="Average of Total_Price"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8.357375" backgroundQuery="1" createdVersion="7" refreshedVersion="7" minRefreshableVersion="3" recordCount="0" supportSubquery="1" supportAdvancedDrill="1" xr:uid="{888F3800-2863-40B7-8288-B3BE044CE98C}">
  <cacheSource type="external" connectionId="2"/>
  <cacheFields count="1">
    <cacheField name="[Measures].[Sum of Profit]" caption="Sum of Profit" numFmtId="0" hierarchy="28" level="32767"/>
  </cacheFields>
  <cacheHierarchies count="34">
    <cacheHierarchy uniqueName="[Table1].[Sale_ID]" caption="Sale_ID" attribute="1" defaultMemberUniqueName="[Table1].[Sale_ID].[All]" allUniqueName="[Table1].[Sale_ID].[All]" dimensionUniqueName="[Table1]" displayFolder="" count="0" memberValueDatatype="5" unbalanced="0"/>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5" unbalanced="0"/>
    <cacheHierarchy uniqueName="[Table1].[Unit_Price]" caption="Unit_Price" attribute="1" defaultMemberUniqueName="[Table1].[Unit_Price].[All]" allUniqueName="[Table1].[Unit_Price].[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Customer]" caption="Customer" attribute="1" defaultMemberUniqueName="[Table1].[Customer].[All]" allUniqueName="[Table1].[Customer].[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Supplier_ID]" caption="Supplier_ID" attribute="1" defaultMemberUniqueName="[Table1].[Supplier_ID].[All]" allUniqueName="[Table1].[Supplier_ID].[All]" dimensionUniqueName="[Table1]" displayFolder="" count="0" memberValueDatatype="5" unbalanced="0"/>
    <cacheHierarchy uniqueName="[Table1].[Category]" caption="Category" attribute="1" defaultMemberUniqueName="[Table1].[Category].[All]" allUniqueName="[Table1].[Category].[All]" dimensionUniqueName="[Table1]" displayFolder="" count="2" memberValueDatatype="130" unbalanced="0"/>
    <cacheHierarchy uniqueName="[Table1].[Total_Price]" caption="Total_Price" attribute="1" defaultMemberUniqueName="[Table1].[Total_Price].[All]" allUniqueName="[Table1].[Total_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Date (Month)]" caption="Date (Month)" attribute="1" defaultMemberUniqueName="[Table1].[Date (Month)].[All]" allUniqueName="[Table1].[Date (Month)].[All]" dimensionUniqueName="[Table1]" displayFolder="" count="2" memberValueDatatype="130" unbalanced="0"/>
    <cacheHierarchy uniqueName="[Table2].[Supplier_ID]" caption="Supplier_ID" attribute="1" defaultMemberUniqueName="[Table2].[Supplier_ID].[All]" allUniqueName="[Table2].[Supplier_ID].[All]" dimensionUniqueName="[Table2]" displayFolder="" count="0" memberValueDatatype="5" unbalanced="0"/>
    <cacheHierarchy uniqueName="[Table2].[Supplier_Name]" caption="Supplier_Name" attribute="1" defaultMemberUniqueName="[Table2].[Supplier_Name].[All]" allUniqueName="[Table2].[Supplier_Name].[All]" dimensionUniqueName="[Table2]" displayFolder="" count="0" memberValueDatatype="130" unbalanced="0"/>
    <cacheHierarchy uniqueName="[Table2].[Supplier_Country]" caption="Supplier_Country" attribute="1" defaultMemberUniqueName="[Table2].[Supplier_Country].[All]" allUniqueName="[Table2].[Supplier_Country].[All]" dimensionUniqueName="[Table2]" displayFolder="" count="0" memberValueDatatype="130" unbalanced="0"/>
    <cacheHierarchy uniqueName="[Table2].[Contact]" caption="Contact" attribute="1" defaultMemberUniqueName="[Table2].[Contact].[All]" allUniqueName="[Table2].[Contact].[All]" dimensionUniqueName="[Table2]" displayFolder="" count="0" memberValueDatatype="5"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Customer_Segment]" caption="Customer_Segment" attribute="1" defaultMemberUniqueName="[Table3].[Customer_Segment].[All]" allUniqueName="[Table3].[Customer_Segment].[All]" dimensionUniqueName="[Table3]" displayFolder="" count="0" memberValueDatatype="130" unbalanced="0"/>
    <cacheHierarchy uniqueName="[Table3].[Customer_Country]" caption="Customer_Country" attribute="1" defaultMemberUniqueName="[Table3].[Customer_Country].[All]" allUniqueName="[Table3].[Customer_Country].[All]" dimensionUniqueName="[Table3]" displayFolder="" count="0" memberValueDatatype="130" unbalanced="0"/>
    <cacheHierarchy uniqueName="[Table3].[Email]" caption="Email" attribute="1" defaultMemberUniqueName="[Table3].[Email].[All]" allUniqueName="[Table3].[Email].[All]" dimensionUniqueName="[Table3]"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otal_Price]" caption="Sum of Total_Price" measure="1" displayFolder="" measureGroup="Table1"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Tabl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Sale_ID]" caption="Sum of Sale_ID" measure="1" displayFolder="" measureGroup="Table1" count="0" hidden="1">
      <extLst>
        <ext xmlns:x15="http://schemas.microsoft.com/office/spreadsheetml/2010/11/main" uri="{B97F6D7D-B522-45F9-BDA1-12C45D357490}">
          <x15:cacheHierarchy aggregatedColumn="0"/>
        </ext>
      </extLst>
    </cacheHierarchy>
    <cacheHierarchy uniqueName="[Measures].[Count of Sale_ID]" caption="Count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Total_Price]" caption="Average of Total_Price"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8.361193287034" backgroundQuery="1" createdVersion="7" refreshedVersion="7" minRefreshableVersion="3" recordCount="0" supportSubquery="1" supportAdvancedDrill="1" xr:uid="{0BF3D26D-0301-4228-A47C-7EAE1E678B67}">
  <cacheSource type="external" connectionId="2"/>
  <cacheFields count="1">
    <cacheField name="[Measures].[Average of Total_Price]" caption="Average of Total_Price" numFmtId="0" hierarchy="31" level="32767"/>
  </cacheFields>
  <cacheHierarchies count="34">
    <cacheHierarchy uniqueName="[Table1].[Sale_ID]" caption="Sale_ID" attribute="1" defaultMemberUniqueName="[Table1].[Sale_ID].[All]" allUniqueName="[Table1].[Sale_ID].[All]" dimensionUniqueName="[Table1]" displayFolder="" count="0" memberValueDatatype="5" unbalanced="0"/>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5" unbalanced="0"/>
    <cacheHierarchy uniqueName="[Table1].[Unit_Price]" caption="Unit_Price" attribute="1" defaultMemberUniqueName="[Table1].[Unit_Price].[All]" allUniqueName="[Table1].[Unit_Price].[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Customer]" caption="Customer" attribute="1" defaultMemberUniqueName="[Table1].[Customer].[All]" allUniqueName="[Table1].[Customer].[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Supplier_ID]" caption="Supplier_ID" attribute="1" defaultMemberUniqueName="[Table1].[Supplier_ID].[All]" allUniqueName="[Table1].[Supplier_ID].[All]" dimensionUniqueName="[Table1]" displayFolder="" count="0" memberValueDatatype="5" unbalanced="0"/>
    <cacheHierarchy uniqueName="[Table1].[Category]" caption="Category" attribute="1" defaultMemberUniqueName="[Table1].[Category].[All]" allUniqueName="[Table1].[Category].[All]" dimensionUniqueName="[Table1]" displayFolder="" count="2" memberValueDatatype="130" unbalanced="0"/>
    <cacheHierarchy uniqueName="[Table1].[Total_Price]" caption="Total_Price" attribute="1" defaultMemberUniqueName="[Table1].[Total_Price].[All]" allUniqueName="[Table1].[Total_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Date (Month)]" caption="Date (Month)" attribute="1" defaultMemberUniqueName="[Table1].[Date (Month)].[All]" allUniqueName="[Table1].[Date (Month)].[All]" dimensionUniqueName="[Table1]" displayFolder="" count="2" memberValueDatatype="130" unbalanced="0"/>
    <cacheHierarchy uniqueName="[Table2].[Supplier_ID]" caption="Supplier_ID" attribute="1" defaultMemberUniqueName="[Table2].[Supplier_ID].[All]" allUniqueName="[Table2].[Supplier_ID].[All]" dimensionUniqueName="[Table2]" displayFolder="" count="0" memberValueDatatype="5" unbalanced="0"/>
    <cacheHierarchy uniqueName="[Table2].[Supplier_Name]" caption="Supplier_Name" attribute="1" defaultMemberUniqueName="[Table2].[Supplier_Name].[All]" allUniqueName="[Table2].[Supplier_Name].[All]" dimensionUniqueName="[Table2]" displayFolder="" count="0" memberValueDatatype="130" unbalanced="0"/>
    <cacheHierarchy uniqueName="[Table2].[Supplier_Country]" caption="Supplier_Country" attribute="1" defaultMemberUniqueName="[Table2].[Supplier_Country].[All]" allUniqueName="[Table2].[Supplier_Country].[All]" dimensionUniqueName="[Table2]" displayFolder="" count="0" memberValueDatatype="130" unbalanced="0"/>
    <cacheHierarchy uniqueName="[Table2].[Contact]" caption="Contact" attribute="1" defaultMemberUniqueName="[Table2].[Contact].[All]" allUniqueName="[Table2].[Contact].[All]" dimensionUniqueName="[Table2]" displayFolder="" count="0" memberValueDatatype="5"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Customer_Segment]" caption="Customer_Segment" attribute="1" defaultMemberUniqueName="[Table3].[Customer_Segment].[All]" allUniqueName="[Table3].[Customer_Segment].[All]" dimensionUniqueName="[Table3]" displayFolder="" count="0" memberValueDatatype="130" unbalanced="0"/>
    <cacheHierarchy uniqueName="[Table3].[Customer_Country]" caption="Customer_Country" attribute="1" defaultMemberUniqueName="[Table3].[Customer_Country].[All]" allUniqueName="[Table3].[Customer_Country].[All]" dimensionUniqueName="[Table3]" displayFolder="" count="0" memberValueDatatype="130" unbalanced="0"/>
    <cacheHierarchy uniqueName="[Table3].[Email]" caption="Email" attribute="1" defaultMemberUniqueName="[Table3].[Email].[All]" allUniqueName="[Table3].[Email].[All]" dimensionUniqueName="[Table3]"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otal_Price]" caption="Sum of Total_Price" measure="1" displayFolder="" measureGroup="Table1"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Tabl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0"/>
        </ext>
      </extLst>
    </cacheHierarchy>
    <cacheHierarchy uniqueName="[Measures].[Sum of Sale_ID]" caption="Sum of Sale_ID" measure="1" displayFolder="" measureGroup="Table1" count="0" hidden="1">
      <extLst>
        <ext xmlns:x15="http://schemas.microsoft.com/office/spreadsheetml/2010/11/main" uri="{B97F6D7D-B522-45F9-BDA1-12C45D357490}">
          <x15:cacheHierarchy aggregatedColumn="0"/>
        </ext>
      </extLst>
    </cacheHierarchy>
    <cacheHierarchy uniqueName="[Measures].[Count of Sale_ID]" caption="Count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Total_Price]" caption="Average of Total_Price"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8.325109606485" backgroundQuery="1" createdVersion="3" refreshedVersion="7" minRefreshableVersion="3" recordCount="0" supportSubquery="1" supportAdvancedDrill="1" xr:uid="{AB475B46-AC6E-495C-8A9E-8923246F23FB}">
  <cacheSource type="external" connectionId="2">
    <extLst>
      <ext xmlns:x14="http://schemas.microsoft.com/office/spreadsheetml/2009/9/main" uri="{F057638F-6D5F-4e77-A914-E7F072B9BCA8}">
        <x14:sourceConnection name="ThisWorkbookDataModel"/>
      </ext>
    </extLst>
  </cacheSource>
  <cacheFields count="0"/>
  <cacheHierarchies count="34">
    <cacheHierarchy uniqueName="[Table1].[Sale_ID]" caption="Sale_ID" attribute="1" defaultMemberUniqueName="[Table1].[Sale_ID].[All]" allUniqueName="[Table1].[Sale_ID].[All]" dimensionUniqueName="[Table1]" displayFolder="" count="0" memberValueDatatype="5" unbalanced="0"/>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5" unbalanced="0"/>
    <cacheHierarchy uniqueName="[Table1].[Unit_Price]" caption="Unit_Price" attribute="1" defaultMemberUniqueName="[Table1].[Unit_Price].[All]" allUniqueName="[Table1].[Unit_Price].[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Customer]" caption="Customer" attribute="1" defaultMemberUniqueName="[Table1].[Customer].[All]" allUniqueName="[Table1].[Customer].[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Supplier_ID]" caption="Supplier_ID" attribute="1" defaultMemberUniqueName="[Table1].[Supplier_ID].[All]" allUniqueName="[Table1].[Supplier_ID].[All]" dimensionUniqueName="[Table1]" displayFolder="" count="0" memberValueDatatype="5" unbalanced="0"/>
    <cacheHierarchy uniqueName="[Table1].[Category]" caption="Category" attribute="1" defaultMemberUniqueName="[Table1].[Category].[All]" allUniqueName="[Table1].[Category].[All]" dimensionUniqueName="[Table1]" displayFolder="" count="2" memberValueDatatype="130" unbalanced="0"/>
    <cacheHierarchy uniqueName="[Table1].[Total_Price]" caption="Total_Price" attribute="1" defaultMemberUniqueName="[Table1].[Total_Price].[All]" allUniqueName="[Table1].[Total_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Date (Month)]" caption="Date (Month)" attribute="1" defaultMemberUniqueName="[Table1].[Date (Month)].[All]" allUniqueName="[Table1].[Date (Month)].[All]" dimensionUniqueName="[Table1]" displayFolder="" count="2" memberValueDatatype="130" unbalanced="0"/>
    <cacheHierarchy uniqueName="[Table2].[Supplier_ID]" caption="Supplier_ID" attribute="1" defaultMemberUniqueName="[Table2].[Supplier_ID].[All]" allUniqueName="[Table2].[Supplier_ID].[All]" dimensionUniqueName="[Table2]" displayFolder="" count="0" memberValueDatatype="5" unbalanced="0"/>
    <cacheHierarchy uniqueName="[Table2].[Supplier_Name]" caption="Supplier_Name" attribute="1" defaultMemberUniqueName="[Table2].[Supplier_Name].[All]" allUniqueName="[Table2].[Supplier_Name].[All]" dimensionUniqueName="[Table2]" displayFolder="" count="0" memberValueDatatype="130" unbalanced="0"/>
    <cacheHierarchy uniqueName="[Table2].[Supplier_Country]" caption="Supplier_Country" attribute="1" defaultMemberUniqueName="[Table2].[Supplier_Country].[All]" allUniqueName="[Table2].[Supplier_Country].[All]" dimensionUniqueName="[Table2]" displayFolder="" count="0" memberValueDatatype="130" unbalanced="0"/>
    <cacheHierarchy uniqueName="[Table2].[Contact]" caption="Contact" attribute="1" defaultMemberUniqueName="[Table2].[Contact].[All]" allUniqueName="[Table2].[Contact].[All]" dimensionUniqueName="[Table2]" displayFolder="" count="0" memberValueDatatype="5"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Customer_Segment]" caption="Customer_Segment" attribute="1" defaultMemberUniqueName="[Table3].[Customer_Segment].[All]" allUniqueName="[Table3].[Customer_Segment].[All]" dimensionUniqueName="[Table3]" displayFolder="" count="0" memberValueDatatype="130" unbalanced="0"/>
    <cacheHierarchy uniqueName="[Table3].[Customer_Country]" caption="Customer_Country" attribute="1" defaultMemberUniqueName="[Table3].[Customer_Country].[All]" allUniqueName="[Table3].[Customer_Country].[All]" dimensionUniqueName="[Table3]" displayFolder="" count="0" memberValueDatatype="130" unbalanced="0"/>
    <cacheHierarchy uniqueName="[Table3].[Email]" caption="Email" attribute="1" defaultMemberUniqueName="[Table3].[Email].[All]" allUniqueName="[Table3].[Email].[All]" dimensionUniqueName="[Table3]"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otal_Price]" caption="Sum of Total_Price" measure="1" displayFolder="" measureGroup="Table1" count="0" hidden="1">
      <extLst>
        <ext xmlns:x15="http://schemas.microsoft.com/office/spreadsheetml/2010/11/main" uri="{B97F6D7D-B522-45F9-BDA1-12C45D357490}">
          <x15:cacheHierarchy aggregatedColumn="9"/>
        </ext>
      </extLst>
    </cacheHierarchy>
    <cacheHierarchy uniqueName="[Measures].[Count of Customer]" caption="Count of Customer" measure="1" displayFolder="" measureGroup="Tabl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0"/>
        </ext>
      </extLst>
    </cacheHierarchy>
    <cacheHierarchy uniqueName="[Measures].[Sum of Sale_ID]" caption="Sum of Sale_ID" measure="1" displayFolder="" measureGroup="Table1" count="0" hidden="1">
      <extLst>
        <ext xmlns:x15="http://schemas.microsoft.com/office/spreadsheetml/2010/11/main" uri="{B97F6D7D-B522-45F9-BDA1-12C45D357490}">
          <x15:cacheHierarchy aggregatedColumn="0"/>
        </ext>
      </extLst>
    </cacheHierarchy>
    <cacheHierarchy uniqueName="[Measures].[Count of Sale_ID]" caption="Count of Sale_ID" measure="1" displayFolder="" measureGroup="Table1" count="0" hidden="1">
      <extLst>
        <ext xmlns:x15="http://schemas.microsoft.com/office/spreadsheetml/2010/11/main" uri="{B97F6D7D-B522-45F9-BDA1-12C45D357490}">
          <x15:cacheHierarchy aggregatedColumn="0"/>
        </ext>
      </extLst>
    </cacheHierarchy>
    <cacheHierarchy uniqueName="[Measures].[Average of Total_Price]" caption="Average of Total_Price" measure="1" displayFolder="" measureGroup="Table1"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40085365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D89FAE-2BE2-4099-A9A4-02C7BA54414D}" name="month_total" cacheId="10" applyNumberFormats="0" applyBorderFormats="0" applyFontFormats="0" applyPatternFormats="0" applyAlignmentFormats="0" applyWidthHeightFormats="1" dataCaption="Values" tag="9b07e022-49b0-4695-afc9-0c476cc712a4" updatedVersion="7" minRefreshableVersion="3" subtotalHiddenItems="1" itemPrintTitles="1" createdVersion="7" indent="0" outline="1" outlineData="1" multipleFieldFilters="0" chartFormat="8">
  <location ref="L23:M36" firstHeaderRow="1" firstDataRow="1" firstDataCol="1"/>
  <pivotFields count="4">
    <pivotField axis="axisRow" allDrilled="1" subtotalTop="0" showAll="0" dataSourceSort="1" defaultSubtotal="0" defaultAttributeDrillState="1">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2">
    <field x="1"/>
    <field x="0"/>
  </rowFields>
  <rowItems count="13">
    <i>
      <x/>
    </i>
    <i>
      <x v="1"/>
    </i>
    <i>
      <x v="2"/>
    </i>
    <i>
      <x v="3"/>
    </i>
    <i>
      <x v="4"/>
    </i>
    <i>
      <x v="5"/>
    </i>
    <i>
      <x v="6"/>
    </i>
    <i>
      <x v="7"/>
    </i>
    <i>
      <x v="8"/>
    </i>
    <i>
      <x v="9"/>
    </i>
    <i>
      <x v="10"/>
    </i>
    <i>
      <x v="11"/>
    </i>
    <i t="grand">
      <x/>
    </i>
  </rowItems>
  <colItems count="1">
    <i/>
  </colItems>
  <dataFields count="1">
    <dataField name="Sum of Total_Price" fld="2" baseField="0" baseItem="0" numFmtId="43"/>
  </dataFields>
  <formats count="1">
    <format dxfId="0">
      <pivotArea outline="0" collapsedLevelsAreSubtotals="1" fieldPosition="0"/>
    </format>
  </formats>
  <chartFormats count="1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 chart="3" format="5">
      <pivotArea type="data" outline="0" fieldPosition="0">
        <references count="2">
          <reference field="4294967294" count="1" selected="0">
            <x v="0"/>
          </reference>
          <reference field="1" count="1" selected="0">
            <x v="2"/>
          </reference>
        </references>
      </pivotArea>
    </chartFormat>
    <chartFormat chart="3" format="6">
      <pivotArea type="data" outline="0" fieldPosition="0">
        <references count="2">
          <reference field="4294967294" count="1" selected="0">
            <x v="0"/>
          </reference>
          <reference field="1" count="1" selected="0">
            <x v="3"/>
          </reference>
        </references>
      </pivotArea>
    </chartFormat>
    <chartFormat chart="3" format="7">
      <pivotArea type="data" outline="0" fieldPosition="0">
        <references count="2">
          <reference field="4294967294" count="1" selected="0">
            <x v="0"/>
          </reference>
          <reference field="1" count="1" selected="0">
            <x v="4"/>
          </reference>
        </references>
      </pivotArea>
    </chartFormat>
    <chartFormat chart="3" format="8">
      <pivotArea type="data" outline="0" fieldPosition="0">
        <references count="2">
          <reference field="4294967294" count="1" selected="0">
            <x v="0"/>
          </reference>
          <reference field="1" count="1" selected="0">
            <x v="5"/>
          </reference>
        </references>
      </pivotArea>
    </chartFormat>
    <chartFormat chart="3" format="9">
      <pivotArea type="data" outline="0" fieldPosition="0">
        <references count="2">
          <reference field="4294967294" count="1" selected="0">
            <x v="0"/>
          </reference>
          <reference field="1" count="1" selected="0">
            <x v="6"/>
          </reference>
        </references>
      </pivotArea>
    </chartFormat>
    <chartFormat chart="3" format="10">
      <pivotArea type="data" outline="0" fieldPosition="0">
        <references count="2">
          <reference field="4294967294" count="1" selected="0">
            <x v="0"/>
          </reference>
          <reference field="1" count="1" selected="0">
            <x v="7"/>
          </reference>
        </references>
      </pivotArea>
    </chartFormat>
    <chartFormat chart="3" format="11">
      <pivotArea type="data" outline="0" fieldPosition="0">
        <references count="2">
          <reference field="4294967294" count="1" selected="0">
            <x v="0"/>
          </reference>
          <reference field="1" count="1" selected="0">
            <x v="8"/>
          </reference>
        </references>
      </pivotArea>
    </chartFormat>
    <chartFormat chart="3" format="12">
      <pivotArea type="data" outline="0" fieldPosition="0">
        <references count="2">
          <reference field="4294967294" count="1" selected="0">
            <x v="0"/>
          </reference>
          <reference field="1" count="1" selected="0">
            <x v="9"/>
          </reference>
        </references>
      </pivotArea>
    </chartFormat>
    <chartFormat chart="3" format="13">
      <pivotArea type="data" outline="0" fieldPosition="0">
        <references count="2">
          <reference field="4294967294" count="1" selected="0">
            <x v="0"/>
          </reference>
          <reference field="1" count="1" selected="0">
            <x v="10"/>
          </reference>
        </references>
      </pivotArea>
    </chartFormat>
    <chartFormat chart="3" format="14">
      <pivotArea type="data" outline="0" fieldPosition="0">
        <references count="2">
          <reference field="4294967294" count="1" selected="0">
            <x v="0"/>
          </reference>
          <reference field="1" count="1" selected="0">
            <x v="11"/>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F433C3-E76C-426D-BA39-16E31770C5DD}" name="country_profit" cacheId="6" applyNumberFormats="0" applyBorderFormats="0" applyFontFormats="0" applyPatternFormats="0" applyAlignmentFormats="0" applyWidthHeightFormats="1" dataCaption="Values" tag="773eb57a-04e0-4855-ab31-4f9333957f25" updatedVersion="7" minRefreshableVersion="3" subtotalHiddenItems="1" itemPrintTitles="1" createdVersion="7" indent="0" outline="1" outlineData="1" multipleFieldFilters="0" chartFormat="9">
  <location ref="N5:O14" firstHeaderRow="1"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5"/>
    </i>
    <i>
      <x v="7"/>
    </i>
    <i>
      <x/>
    </i>
    <i>
      <x v="1"/>
    </i>
    <i>
      <x v="6"/>
    </i>
    <i>
      <x v="4"/>
    </i>
    <i>
      <x v="3"/>
    </i>
    <i>
      <x v="2"/>
    </i>
    <i t="grand">
      <x/>
    </i>
  </rowItems>
  <colItems count="1">
    <i/>
  </colItems>
  <dataFields count="1">
    <dataField name="Sum of Profit" fld="1" baseField="0" baseItem="0" numFmtId="43"/>
  </dataFields>
  <formats count="6">
    <format dxfId="6">
      <pivotArea type="all" dataOnly="0" outline="0" fieldPosition="0"/>
    </format>
    <format dxfId="5">
      <pivotArea outline="0" collapsedLevelsAreSubtotals="1" fieldPosition="0"/>
    </format>
    <format dxfId="4">
      <pivotArea field="0" type="button" dataOnly="0" labelOnly="1" outline="0" axis="axisRow" fieldPosition="0"/>
    </format>
    <format dxfId="3">
      <pivotArea dataOnly="0" labelOnly="1" fieldPosition="0">
        <references count="1">
          <reference field="0" count="0"/>
        </references>
      </pivotArea>
    </format>
    <format dxfId="2">
      <pivotArea dataOnly="0" labelOnly="1" grandRow="1" outline="0" fieldPosition="0"/>
    </format>
    <format dxfId="1">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D31F30-9989-43B6-A9CD-5E0CB7D07F6C}" name="month_profit" cacheId="9" applyNumberFormats="0" applyBorderFormats="0" applyFontFormats="0" applyPatternFormats="0" applyAlignmentFormats="0" applyWidthHeightFormats="1" dataCaption="Values" tag="39cbce2b-7f85-4969-a250-6c6027ee0793" updatedVersion="7" minRefreshableVersion="3" subtotalHiddenItems="1" itemPrintTitles="1" createdVersion="7" indent="0" outline="1" outlineData="1" multipleFieldFilters="0" chartFormat="8">
  <location ref="Q6:R19" firstHeaderRow="1" firstDataRow="1" firstDataCol="1"/>
  <pivotFields count="4">
    <pivotField axis="axisRow" allDrilled="1" subtotalTop="0" showAll="0" dataSourceSort="1" defaultSubtotal="0" defaultAttributeDrillState="1">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2">
    <field x="1"/>
    <field x="0"/>
  </rowFields>
  <rowItems count="13">
    <i>
      <x/>
    </i>
    <i>
      <x v="1"/>
    </i>
    <i>
      <x v="2"/>
    </i>
    <i>
      <x v="3"/>
    </i>
    <i>
      <x v="4"/>
    </i>
    <i>
      <x v="5"/>
    </i>
    <i>
      <x v="6"/>
    </i>
    <i>
      <x v="7"/>
    </i>
    <i>
      <x v="8"/>
    </i>
    <i>
      <x v="9"/>
    </i>
    <i>
      <x v="10"/>
    </i>
    <i>
      <x v="11"/>
    </i>
    <i t="grand">
      <x/>
    </i>
  </rowItems>
  <colItems count="1">
    <i/>
  </colItems>
  <dataFields count="1">
    <dataField name="Sum of Profit" fld="2" baseField="0" baseItem="0" numFmtId="43"/>
  </dataFields>
  <formats count="1">
    <format dxfId="7">
      <pivotArea outline="0" collapsedLevelsAreSubtotals="1" fieldPosition="0"/>
    </format>
  </formats>
  <chartFormats count="1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 chart="3" format="5">
      <pivotArea type="data" outline="0" fieldPosition="0">
        <references count="2">
          <reference field="4294967294" count="1" selected="0">
            <x v="0"/>
          </reference>
          <reference field="1" count="1" selected="0">
            <x v="2"/>
          </reference>
        </references>
      </pivotArea>
    </chartFormat>
    <chartFormat chart="3" format="6">
      <pivotArea type="data" outline="0" fieldPosition="0">
        <references count="2">
          <reference field="4294967294" count="1" selected="0">
            <x v="0"/>
          </reference>
          <reference field="1" count="1" selected="0">
            <x v="3"/>
          </reference>
        </references>
      </pivotArea>
    </chartFormat>
    <chartFormat chart="3" format="7">
      <pivotArea type="data" outline="0" fieldPosition="0">
        <references count="2">
          <reference field="4294967294" count="1" selected="0">
            <x v="0"/>
          </reference>
          <reference field="1" count="1" selected="0">
            <x v="4"/>
          </reference>
        </references>
      </pivotArea>
    </chartFormat>
    <chartFormat chart="3" format="8">
      <pivotArea type="data" outline="0" fieldPosition="0">
        <references count="2">
          <reference field="4294967294" count="1" selected="0">
            <x v="0"/>
          </reference>
          <reference field="1" count="1" selected="0">
            <x v="5"/>
          </reference>
        </references>
      </pivotArea>
    </chartFormat>
    <chartFormat chart="3" format="9">
      <pivotArea type="data" outline="0" fieldPosition="0">
        <references count="2">
          <reference field="4294967294" count="1" selected="0">
            <x v="0"/>
          </reference>
          <reference field="1" count="1" selected="0">
            <x v="6"/>
          </reference>
        </references>
      </pivotArea>
    </chartFormat>
    <chartFormat chart="3" format="10">
      <pivotArea type="data" outline="0" fieldPosition="0">
        <references count="2">
          <reference field="4294967294" count="1" selected="0">
            <x v="0"/>
          </reference>
          <reference field="1" count="1" selected="0">
            <x v="7"/>
          </reference>
        </references>
      </pivotArea>
    </chartFormat>
    <chartFormat chart="3" format="11">
      <pivotArea type="data" outline="0" fieldPosition="0">
        <references count="2">
          <reference field="4294967294" count="1" selected="0">
            <x v="0"/>
          </reference>
          <reference field="1" count="1" selected="0">
            <x v="8"/>
          </reference>
        </references>
      </pivotArea>
    </chartFormat>
    <chartFormat chart="3" format="12">
      <pivotArea type="data" outline="0" fieldPosition="0">
        <references count="2">
          <reference field="4294967294" count="1" selected="0">
            <x v="0"/>
          </reference>
          <reference field="1" count="1" selected="0">
            <x v="9"/>
          </reference>
        </references>
      </pivotArea>
    </chartFormat>
    <chartFormat chart="3" format="13">
      <pivotArea type="data" outline="0" fieldPosition="0">
        <references count="2">
          <reference field="4294967294" count="1" selected="0">
            <x v="0"/>
          </reference>
          <reference field="1" count="1" selected="0">
            <x v="10"/>
          </reference>
        </references>
      </pivotArea>
    </chartFormat>
    <chartFormat chart="3" format="14">
      <pivotArea type="data" outline="0" fieldPosition="0">
        <references count="2">
          <reference field="4294967294" count="1" selected="0">
            <x v="0"/>
          </reference>
          <reference field="1" count="1" selected="0">
            <x v="11"/>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C0D111-6559-4ECB-AA42-D14D840A916D}" name="supplier_profit" cacheId="1" applyNumberFormats="0" applyBorderFormats="0" applyFontFormats="0" applyPatternFormats="0" applyAlignmentFormats="0" applyWidthHeightFormats="1" dataCaption="Values" tag="7f0f2348-3e8b-4c0e-acba-2d9591843ee1" updatedVersion="7" minRefreshableVersion="3" useAutoFormatting="1" itemPrintTitles="1" createdVersion="7" indent="0" outline="1" outlineData="1" multipleFieldFilters="0">
  <location ref="F679:H696" firstHeaderRow="1" firstDataRow="1" firstDataCol="0"/>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93AB4D-FC79-491B-936F-2C1C40F1FAD0}" name="country_sale_id" cacheId="7" applyNumberFormats="0" applyBorderFormats="0" applyFontFormats="0" applyPatternFormats="0" applyAlignmentFormats="0" applyWidthHeightFormats="1" dataCaption="Values" tag="2040dd5b-2ec3-471f-9e33-73676315521b" updatedVersion="7" minRefreshableVersion="3" useAutoFormatting="1" subtotalHiddenItems="1" itemPrintTitles="1" createdVersion="7" indent="0" outline="1" outlineData="1" multipleFieldFilters="0">
  <location ref="O22:P31" firstHeaderRow="1" firstDataRow="1" firstDataCol="1"/>
  <pivotFields count="3">
    <pivotField axis="axisRow" allDrilled="1" subtotalTop="0" showAll="0"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Sale_ID" fld="1" subtotal="count" baseField="0" baseItem="1"/>
  </dataField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Sale_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20A12D-6806-47F9-9E16-101E3F279F9E}" name="average_total_price" cacheId="16" applyNumberFormats="0" applyBorderFormats="0" applyFontFormats="0" applyPatternFormats="0" applyAlignmentFormats="0" applyWidthHeightFormats="1" dataCaption="Values" tag="3c7e59e8-f2dd-4698-a456-d2a0c9228289" updatedVersion="7" minRefreshableVersion="3" useAutoFormatting="1" subtotalHiddenItems="1" itemPrintTitles="1" createdVersion="7" indent="0" outline="1" outlineData="1" multipleFieldFilters="0">
  <location ref="B9:B10" firstHeaderRow="1" firstDataRow="1" firstDataCol="0"/>
  <pivotFields count="1">
    <pivotField dataField="1" subtotalTop="0" showAll="0" defaultSubtotal="0"/>
  </pivotFields>
  <rowItems count="1">
    <i/>
  </rowItems>
  <colItems count="1">
    <i/>
  </colItems>
  <dataFields count="1">
    <dataField name="Average of Total_Price" fld="0" subtotal="average" baseField="0" baseItem="0" numFmtId="166"/>
  </dataFields>
  <formats count="8">
    <format dxfId="15">
      <pivotArea type="all" dataOnly="0" outline="0" fieldPosition="0"/>
    </format>
    <format dxfId="14">
      <pivotArea outline="0" collapsedLevelsAreSubtotals="1" fieldPosition="0"/>
    </format>
    <format dxfId="13">
      <pivotArea dataOnly="0" labelOnly="1" outline="0" axis="axisValues" fieldPosition="0"/>
    </format>
    <format dxfId="12">
      <pivotArea type="all" dataOnly="0" outline="0" fieldPosition="0"/>
    </format>
    <format dxfId="11">
      <pivotArea outline="0" collapsedLevelsAreSubtotals="1" fieldPosition="0"/>
    </format>
    <format dxfId="10">
      <pivotArea dataOnly="0" labelOnly="1" outline="0" axis="axisValues" fieldPosition="0"/>
    </format>
    <format dxfId="9">
      <pivotArea outline="0" collapsedLevelsAreSubtotals="1" fieldPosition="0"/>
    </format>
    <format dxfId="8">
      <pivotArea outline="0" fieldPosition="0">
        <references count="1">
          <reference field="4294967294" count="1">
            <x v="0"/>
          </reference>
        </references>
      </pivotArea>
    </format>
  </format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Sale_ID"/>
    <pivotHierarchy dragToData="1" caption="Average of Total_Pric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F6A230-365E-4ECF-B2DC-A0FA242707D1}" name="PivotTable19" cacheId="2" applyNumberFormats="0" applyBorderFormats="0" applyFontFormats="0" applyPatternFormats="0" applyAlignmentFormats="0" applyWidthHeightFormats="1" dataCaption="Values" tag="b3466f29-52cb-4ef5-8c09-29cf7da98b60" updatedVersion="7" minRefreshableVersion="3" useAutoFormatting="1" rowGrandTotals="0" colGrandTotals="0" itemPrintTitles="1" createdVersion="7" indent="0" outline="1" outlineData="1" multipleFieldFilters="0">
  <location ref="J680:L697" firstHeaderRow="1" firstDataRow="1" firstDataCol="0"/>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053398-EDF9-4FA8-839C-0A55C1EBBC21}" name="count_of_customer" cacheId="14" applyNumberFormats="0" applyBorderFormats="0" applyFontFormats="0" applyPatternFormats="0" applyAlignmentFormats="0" applyWidthHeightFormats="1" dataCaption="Values" tag="a784f910-5f09-4277-8ff4-6e7a4c11f338" updatedVersion="7" minRefreshableVersion="3" useAutoFormatting="1" subtotalHiddenItems="1" itemPrintTitles="1" createdVersion="7" indent="0" outline="1" outlineData="1" multipleFieldFilters="0">
  <location ref="D4:D5" firstHeaderRow="1" firstDataRow="1" firstDataCol="0"/>
  <pivotFields count="1">
    <pivotField dataField="1" subtotalTop="0" showAll="0" defaultSubtotal="0"/>
  </pivotFields>
  <rowItems count="1">
    <i/>
  </rowItems>
  <colItems count="1">
    <i/>
  </colItems>
  <dataFields count="1">
    <dataField name="Count of Sale_ID" fld="0" subtotal="count" baseField="0" baseItem="0" numFmtId="164"/>
  </dataFields>
  <formats count="9">
    <format dxfId="24">
      <pivotArea type="all" dataOnly="0" outline="0" fieldPosition="0"/>
    </format>
    <format dxfId="23">
      <pivotArea outline="0" collapsedLevelsAreSubtotals="1"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dataOnly="0" labelOnly="1" outline="0" axis="axisValues" fieldPosition="0"/>
    </format>
    <format dxfId="18">
      <pivotArea type="all" dataOnly="0" outline="0" fieldPosition="0"/>
    </format>
    <format dxfId="17">
      <pivotArea dataOnly="0" labelOnly="1" outline="0" axis="axisValues" fieldPosition="0"/>
    </format>
    <format dxfId="16">
      <pivotArea outline="0" collapsedLevelsAreSubtotals="1" fieldPosition="0"/>
    </format>
  </format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Sale_I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336D69-7553-47B1-B700-CCA01FF2DA2E}" name="Sum_of_Profit" cacheId="15" applyNumberFormats="0" applyBorderFormats="0" applyFontFormats="0" applyPatternFormats="0" applyAlignmentFormats="0" applyWidthHeightFormats="1" dataCaption="Values" tag="bacef9f5-cfc9-4324-8f01-ab1bbe96ce82" updatedVersion="7" minRefreshableVersion="3" useAutoFormatting="1" subtotalHiddenItems="1" itemPrintTitles="1" createdVersion="7" indent="0" outline="1" outlineData="1" multipleFieldFilters="0">
  <location ref="F4:F5" firstHeaderRow="1" firstDataRow="1" firstDataCol="0"/>
  <pivotFields count="1">
    <pivotField dataField="1" subtotalTop="0" showAll="0" defaultSubtotal="0"/>
  </pivotFields>
  <rowItems count="1">
    <i/>
  </rowItems>
  <colItems count="1">
    <i/>
  </colItems>
  <dataFields count="1">
    <dataField name="Sum of Profit" fld="0" baseField="0" baseItem="0" numFmtId="165"/>
  </dataFields>
  <formats count="5">
    <format dxfId="29">
      <pivotArea type="all" dataOnly="0" outline="0" fieldPosition="0"/>
    </format>
    <format dxfId="28">
      <pivotArea outline="0" collapsedLevelsAreSubtotals="1" fieldPosition="0"/>
    </format>
    <format dxfId="27">
      <pivotArea dataOnly="0" labelOnly="1" outline="0" axis="axisValues" fieldPosition="0"/>
    </format>
    <format dxfId="26">
      <pivotArea outline="0" collapsedLevelsAreSubtotals="1" fieldPosition="0"/>
    </format>
    <format dxfId="25">
      <pivotArea outline="0" fieldPosition="0">
        <references count="1">
          <reference field="4294967294" count="1">
            <x v="0"/>
          </reference>
        </references>
      </pivotArea>
    </format>
  </format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E97799-64E3-41EA-9588-304B558EDDE3}" name="category_profit" cacheId="4" applyNumberFormats="0" applyBorderFormats="0" applyFontFormats="0" applyPatternFormats="0" applyAlignmentFormats="0" applyWidthHeightFormats="1" dataCaption="Values" tag="e103a67c-ff40-45c0-b25a-51615895169b" updatedVersion="7" minRefreshableVersion="3" subtotalHiddenItems="1" itemPrintTitles="1" createdVersion="7" indent="0" outline="1" outlineData="1" multipleFieldFilters="0" chartFormat="11">
  <location ref="H26:I31"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i>
    <i>
      <x v="3"/>
    </i>
    <i>
      <x v="1"/>
    </i>
    <i t="grand">
      <x/>
    </i>
  </rowItems>
  <colItems count="1">
    <i/>
  </colItems>
  <dataFields count="1">
    <dataField name="Sum of Profit" fld="1" baseField="0" baseItem="0"/>
  </dataFields>
  <formats count="2">
    <format dxfId="31">
      <pivotArea outline="0" collapsedLevelsAreSubtotals="1" fieldPosition="0"/>
    </format>
    <format dxfId="3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AB9F34E-9B73-45C8-868B-16DBE74B3B7F}" name="sum_total_price" cacheId="13" applyNumberFormats="0" applyBorderFormats="0" applyFontFormats="0" applyPatternFormats="0" applyAlignmentFormats="0" applyWidthHeightFormats="1" dataCaption="Values" tag="03e4bdf4-a5a3-4e5b-a5db-01362ed9fafb" updatedVersion="7" minRefreshableVersion="3" useAutoFormatting="1" subtotalHiddenItems="1" itemPrintTitles="1" createdVersion="7" indent="0" outline="1" outlineData="1" multipleFieldFilters="0">
  <location ref="B4:B5" firstHeaderRow="1" firstDataRow="1" firstDataCol="0"/>
  <pivotFields count="1">
    <pivotField dataField="1" subtotalTop="0" showAll="0" defaultSubtotal="0"/>
  </pivotFields>
  <rowItems count="1">
    <i/>
  </rowItems>
  <colItems count="1">
    <i/>
  </colItems>
  <dataFields count="1">
    <dataField name="Sum of Total_Price" fld="0" baseField="0" baseItem="0" numFmtId="165"/>
  </dataFields>
  <formats count="17">
    <format dxfId="48">
      <pivotArea outline="0" collapsedLevelsAreSubtotals="1" fieldPosition="0"/>
    </format>
    <format dxfId="47">
      <pivotArea dataOnly="0" labelOnly="1" outline="0" axis="axisValues" fieldPosition="0"/>
    </format>
    <format dxfId="46">
      <pivotArea outline="0" collapsedLevelsAreSubtotals="1" fieldPosition="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dataOnly="0" labelOnly="1" outline="0" axis="axisValues" fieldPosition="0"/>
    </format>
    <format dxfId="38">
      <pivotArea outline="0" collapsedLevelsAreSubtotals="1" fieldPosition="0"/>
    </format>
    <format dxfId="37">
      <pivotArea outline="0" collapsedLevelsAreSubtotals="1" fieldPosition="0"/>
    </format>
    <format dxfId="36">
      <pivotArea outline="0" collapsedLevelsAreSubtotals="1" fieldPosition="0"/>
    </format>
    <format dxfId="35">
      <pivotArea outline="0" collapsedLevelsAreSubtotals="1" fieldPosition="0"/>
    </format>
    <format dxfId="34">
      <pivotArea outline="0" collapsedLevelsAreSubtotals="1" fieldPosition="0"/>
    </format>
    <format dxfId="33">
      <pivotArea outline="0" collapsedLevelsAreSubtotals="1" fieldPosition="0"/>
    </format>
    <format dxfId="32">
      <pivotArea outline="0" fieldPosition="0">
        <references count="1">
          <reference field="4294967294" count="1">
            <x v="0"/>
          </reference>
        </references>
      </pivotArea>
    </format>
  </format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810AECF-513D-4006-9A9F-1C7DD5BC95EC}" name="product_total_price" cacheId="3" applyNumberFormats="0" applyBorderFormats="0" applyFontFormats="0" applyPatternFormats="0" applyAlignmentFormats="0" applyWidthHeightFormats="1" dataCaption="Values" tag="a37dbb8a-b3a1-45a9-a9cb-467268f3d318" updatedVersion="7" minRefreshableVersion="3" subtotalHiddenItems="1" itemPrintTitles="1" createdVersion="7" indent="0" outline="1" outlineData="1" multipleFieldFilters="0" chartFormat="8">
  <location ref="D10:E21"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8"/>
    </i>
    <i>
      <x v="6"/>
    </i>
    <i>
      <x v="2"/>
    </i>
    <i>
      <x v="7"/>
    </i>
    <i>
      <x v="1"/>
    </i>
    <i>
      <x v="9"/>
    </i>
    <i>
      <x v="5"/>
    </i>
    <i>
      <x/>
    </i>
    <i>
      <x v="3"/>
    </i>
    <i>
      <x v="4"/>
    </i>
    <i t="grand">
      <x/>
    </i>
  </rowItems>
  <colItems count="1">
    <i/>
  </colItems>
  <dataFields count="1">
    <dataField name="Sum of Total_Price" fld="1" baseField="0" baseItem="0" numFmtId="43"/>
  </dataFields>
  <formats count="1">
    <format dxfId="4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97DB8D5-6EDE-4FFC-B1A4-AF598FCE91C0}" name="product_profit" cacheId="11" applyNumberFormats="0" applyBorderFormats="0" applyFontFormats="0" applyPatternFormats="0" applyAlignmentFormats="0" applyWidthHeightFormats="1" dataCaption="Values" tag="e58e9b4e-d2ba-40f6-8486-e30b1516ec92" updatedVersion="7" minRefreshableVersion="3" useAutoFormatting="1" subtotalHiddenItems="1" itemPrintTitles="1" createdVersion="7" indent="0" outline="1" outlineData="1" multipleFieldFilters="0">
  <location ref="B25:C36"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8"/>
    </i>
    <i>
      <x v="6"/>
    </i>
    <i>
      <x v="7"/>
    </i>
    <i>
      <x v="2"/>
    </i>
    <i>
      <x v="1"/>
    </i>
    <i>
      <x v="9"/>
    </i>
    <i>
      <x/>
    </i>
    <i>
      <x v="5"/>
    </i>
    <i>
      <x v="4"/>
    </i>
    <i>
      <x v="3"/>
    </i>
    <i t="grand">
      <x/>
    </i>
  </rowItems>
  <colItems count="1">
    <i/>
  </colItems>
  <dataFields count="1">
    <dataField name="Sum of Profit" fld="1" baseField="0" baseItem="0" numFmtId="43"/>
  </dataFields>
  <formats count="1">
    <format dxfId="50">
      <pivotArea outline="0" collapsedLevelsAreSubtotals="1" fieldPosition="0"/>
    </format>
  </format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B04C15B-8A34-466D-8A9B-01D865B2F06A}" name="supplier_total" cacheId="0" applyNumberFormats="0" applyBorderFormats="0" applyFontFormats="0" applyPatternFormats="0" applyAlignmentFormats="0" applyWidthHeightFormats="1" dataCaption="Values" tag="db9d94b4-e10d-4f9a-8139-6a75c7c3bcc7" updatedVersion="7" minRefreshableVersion="3" useAutoFormatting="1" itemPrintTitles="1" createdVersion="7" indent="0" outline="1" outlineData="1" multipleFieldFilters="0">
  <location ref="B679:D696" firstHeaderRow="1" firstDataRow="1" firstDataCol="0"/>
  <formats count="4">
    <format dxfId="54">
      <pivotArea outline="0" collapsedLevelsAreSubtotals="1" fieldPosition="0"/>
    </format>
    <format dxfId="53">
      <pivotArea type="all" dataOnly="0" outline="0" fieldPosition="0"/>
    </format>
    <format dxfId="52">
      <pivotArea outline="0" collapsedLevelsAreSubtotals="1" fieldPosition="0"/>
    </format>
    <format dxfId="51">
      <pivotArea dataOnly="0" labelOnly="1" grandRow="1" outline="0"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7E6B1B5-7076-458D-9C94-5B85B70AE232}" name="category_total_price" cacheId="5" applyNumberFormats="0" applyBorderFormats="0" applyFontFormats="0" applyPatternFormats="0" applyAlignmentFormats="0" applyWidthHeightFormats="1" dataCaption="Values" tag="dfab7067-8115-4d42-8f47-5223df27c95d" updatedVersion="7" minRefreshableVersion="3" subtotalHiddenItems="1" itemPrintTitles="1" createdVersion="7" indent="0" outline="1" outlineData="1" multipleFieldFilters="0" chartFormat="8">
  <location ref="E26:F31"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v="3"/>
    </i>
    <i>
      <x v="1"/>
    </i>
    <i>
      <x/>
    </i>
    <i t="grand">
      <x/>
    </i>
  </rowItems>
  <colItems count="1">
    <i/>
  </colItems>
  <dataFields count="1">
    <dataField name="Sum of Total_Price" fld="1" baseField="0" baseItem="0" numFmtId="43"/>
  </dataFields>
  <formats count="2">
    <format dxfId="56">
      <pivotArea outline="0" collapsedLevelsAreSubtotals="1" fieldPosition="0"/>
    </format>
    <format dxfId="55">
      <pivotArea dataOnly="0" labelOnly="1" outline="0" axis="axisValues" fieldPosition="0"/>
    </format>
  </format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EEAD803-4496-42C9-BBE2-987A0FF6B12C}" name="country_total" cacheId="8" applyNumberFormats="0" applyBorderFormats="0" applyFontFormats="0" applyPatternFormats="0" applyAlignmentFormats="0" applyWidthHeightFormats="1" dataCaption="Values" tag="818d3fa6-2597-4573-bd60-36da948b2c43" updatedVersion="7" minRefreshableVersion="3" subtotalHiddenItems="1" itemPrintTitles="1" createdVersion="7" indent="0" outline="1" outlineData="1" multipleFieldFilters="0" chartFormat="8">
  <location ref="K5:L14" firstHeaderRow="1"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5"/>
    </i>
    <i>
      <x v="1"/>
    </i>
    <i>
      <x/>
    </i>
    <i>
      <x v="7"/>
    </i>
    <i>
      <x v="4"/>
    </i>
    <i>
      <x v="6"/>
    </i>
    <i>
      <x v="3"/>
    </i>
    <i>
      <x v="2"/>
    </i>
    <i t="grand">
      <x/>
    </i>
  </rowItems>
  <colItems count="1">
    <i/>
  </colItems>
  <dataFields count="1">
    <dataField name="Sum of Total_Price" fld="1" baseField="0" baseItem="0" numFmtId="43"/>
  </dataFields>
  <formats count="2">
    <format dxfId="58">
      <pivotArea outline="0" collapsedLevelsAreSubtotals="1" fieldPosition="0"/>
    </format>
    <format dxfId="57">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2358DE7-4B58-4AD8-9ABA-01CA3A3E24B4}" name="product_quantity" cacheId="12" applyNumberFormats="0" applyBorderFormats="0" applyFontFormats="0" applyPatternFormats="0" applyAlignmentFormats="0" applyWidthHeightFormats="1" dataCaption="Values" tag="12f1b373-4e7f-482b-abba-c790545cfcf3" updatedVersion="7" minRefreshableVersion="3" useAutoFormatting="1" subtotalHiddenItems="1" itemPrintTitles="1" createdVersion="7" indent="0" outline="1" outlineData="1" multipleFieldFilters="0">
  <location ref="G10:H21"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6"/>
    </i>
    <i>
      <x v="8"/>
    </i>
    <i>
      <x v="1"/>
    </i>
    <i>
      <x v="5"/>
    </i>
    <i>
      <x v="2"/>
    </i>
    <i>
      <x v="7"/>
    </i>
    <i>
      <x v="9"/>
    </i>
    <i>
      <x v="4"/>
    </i>
    <i>
      <x/>
    </i>
    <i>
      <x v="3"/>
    </i>
    <i t="grand">
      <x/>
    </i>
  </rowItems>
  <colItems count="1">
    <i/>
  </colItems>
  <dataFields count="1">
    <dataField name="Sum of Quantity" fld="1" baseField="0" baseItem="0"/>
  </dataField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33DF07E-0FC6-4B61-A969-B98977407B5A}" sourceName="[Table1].[Category]">
  <pivotTables>
    <pivotTable tabId="1" name="product_total_price"/>
    <pivotTable tabId="1" name="average_total_price"/>
    <pivotTable tabId="1" name="category_profit"/>
    <pivotTable tabId="1" name="category_total_price"/>
    <pivotTable tabId="1" name="count_of_customer"/>
    <pivotTable tabId="1" name="country_profit"/>
    <pivotTable tabId="1" name="country_sale_id"/>
    <pivotTable tabId="1" name="country_total"/>
    <pivotTable tabId="1" name="month_profit"/>
    <pivotTable tabId="1" name="month_total"/>
    <pivotTable tabId="1" name="product_profit"/>
    <pivotTable tabId="1" name="product_quantity"/>
    <pivotTable tabId="1" name="Sum_of_Profit"/>
    <pivotTable tabId="1" name="sum_total_price"/>
  </pivotTables>
  <data>
    <olap pivotCacheId="1400853655">
      <levels count="2">
        <level uniqueName="[Table1].[Category].[(All)]" sourceCaption="(All)" count="0"/>
        <level uniqueName="[Table1].[Category].[Category]" sourceCaption="Category" count="4">
          <ranges>
            <range startItem="0">
              <i n="[Table1].[Category].&amp;[Accessories]" c="Accessories"/>
              <i n="[Table1].[Category].&amp;[Electronics]" c="Electronics"/>
              <i n="[Table1].[Category].&amp;[Mobile]" c="Mobile"/>
              <i n="[Table1].[Category].&amp;[Office]" c="Office"/>
            </range>
          </ranges>
        </level>
      </levels>
      <selections count="1">
        <selection n="[Table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F1E23D9-F3C0-46EB-AFAE-0DBA16721131}" sourceName="[Table1].[Country]">
  <pivotTables>
    <pivotTable tabId="1" name="product_total_price"/>
    <pivotTable tabId="1" name="average_total_price"/>
    <pivotTable tabId="1" name="category_profit"/>
    <pivotTable tabId="1" name="category_total_price"/>
    <pivotTable tabId="1" name="count_of_customer"/>
    <pivotTable tabId="1" name="country_profit"/>
    <pivotTable tabId="1" name="country_sale_id"/>
    <pivotTable tabId="1" name="country_total"/>
    <pivotTable tabId="1" name="month_profit"/>
    <pivotTable tabId="1" name="month_total"/>
    <pivotTable tabId="1" name="product_profit"/>
    <pivotTable tabId="1" name="product_quantity"/>
    <pivotTable tabId="1" name="Sum_of_Profit"/>
    <pivotTable tabId="1" name="sum_total_price"/>
  </pivotTables>
  <data>
    <olap pivotCacheId="1400853655">
      <levels count="2">
        <level uniqueName="[Table1].[Country].[(All)]" sourceCaption="(All)" count="0"/>
        <level uniqueName="[Table1].[Country].[Country]" sourceCaption="Country" count="8">
          <ranges>
            <range startItem="0">
              <i n="[Table1].[Country].&amp;[Algeria]" c="Algeria"/>
              <i n="[Table1].[Country].&amp;[Egypt]" c="Egypt"/>
              <i n="[Table1].[Country].&amp;[Jordan]" c="Jordan"/>
              <i n="[Table1].[Country].&amp;[KSA]" c="KSA"/>
              <i n="[Table1].[Country].&amp;[Moroco]" c="Moroco"/>
              <i n="[Table1].[Country].&amp;[Qatar]" c="Qatar"/>
              <i n="[Table1].[Country].&amp;[Tunisia]" c="Tunisia"/>
              <i n="[Table1].[Country].&amp;[UAE]" c="UAE"/>
            </range>
          </ranges>
        </level>
      </levels>
      <selections count="1">
        <selection n="[Table1].[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6DE6DF9-2C7A-4292-A1D9-DA94CD01383B}" sourceName="[Table1].[Date (Month)]">
  <pivotTables>
    <pivotTable tabId="1" name="product_total_price"/>
    <pivotTable tabId="1" name="average_total_price"/>
    <pivotTable tabId="1" name="category_profit"/>
    <pivotTable tabId="1" name="category_total_price"/>
    <pivotTable tabId="1" name="count_of_customer"/>
    <pivotTable tabId="1" name="country_profit"/>
    <pivotTable tabId="1" name="country_sale_id"/>
    <pivotTable tabId="1" name="country_total"/>
    <pivotTable tabId="1" name="month_profit"/>
    <pivotTable tabId="1" name="month_total"/>
    <pivotTable tabId="1" name="product_profit"/>
    <pivotTable tabId="1" name="product_quantity"/>
    <pivotTable tabId="1" name="Sum_of_Profit"/>
    <pivotTable tabId="1" name="sum_total_price"/>
  </pivotTables>
  <data>
    <olap pivotCacheId="1400853655">
      <levels count="2">
        <level uniqueName="[Table1].[Date (Month)].[(All)]" sourceCaption="(All)" count="0"/>
        <level uniqueName="[Table1].[Date (Month)].[Date (Month)]" sourceCaption="Date (Month)" count="12">
          <ranges>
            <range startItem="0">
              <i n="[Table1].[Date (Month)].&amp;[Jan]" c="Jan"/>
              <i n="[Table1].[Date (Month)].&amp;[Feb]" c="Feb"/>
              <i n="[Table1].[Date (Month)].&amp;[Mar]" c="Mar"/>
              <i n="[Table1].[Date (Month)].&amp;[Apr]" c="Apr"/>
              <i n="[Table1].[Date (Month)].&amp;[May]" c="May"/>
              <i n="[Table1].[Date (Month)].&amp;[Jun]" c="Jun"/>
              <i n="[Table1].[Date (Month)].&amp;[Jul]" c="Jul"/>
              <i n="[Table1].[Date (Month)].&amp;[Aug]" c="Aug"/>
              <i n="[Table1].[Date (Month)].&amp;[Sep]" c="Sep"/>
              <i n="[Table1].[Date (Month)].&amp;[Oct]" c="Oct"/>
              <i n="[Table1].[Date (Month)].&amp;[Nov]" c="Nov"/>
              <i n="[Table1].[Date (Month)].&amp;[Dec]" c="Dec"/>
            </range>
          </ranges>
        </level>
      </levels>
      <selections count="1">
        <selection n="[Table1].[Date (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AF84E98-7DBA-4ACE-82E2-4374654354AC}" sourceName="[Table1].[Product]">
  <pivotTables>
    <pivotTable tabId="1" name="product_total_price"/>
    <pivotTable tabId="1" name="average_total_price"/>
    <pivotTable tabId="1" name="category_profit"/>
    <pivotTable tabId="1" name="category_total_price"/>
    <pivotTable tabId="1" name="count_of_customer"/>
    <pivotTable tabId="1" name="country_profit"/>
    <pivotTable tabId="1" name="country_sale_id"/>
    <pivotTable tabId="1" name="country_total"/>
    <pivotTable tabId="1" name="month_profit"/>
    <pivotTable tabId="1" name="month_total"/>
    <pivotTable tabId="1" name="product_profit"/>
    <pivotTable tabId="1" name="product_quantity"/>
    <pivotTable tabId="1" name="Sum_of_Profit"/>
    <pivotTable tabId="1" name="sum_total_price"/>
  </pivotTables>
  <data>
    <olap pivotCacheId="1400853655">
      <levels count="2">
        <level uniqueName="[Table1].[Product].[(All)]" sourceCaption="(All)" count="0"/>
        <level uniqueName="[Table1].[Product].[Product]" sourceCaption="Product" count="10">
          <ranges>
            <range startItem="0">
              <i n="[Table1].[Product].&amp;[Camera]" c="Camera"/>
              <i n="[Table1].[Product].&amp;[Charger]" c="Charger"/>
              <i n="[Table1].[Product].&amp;[Headphones]" c="Headphones"/>
              <i n="[Table1].[Product].&amp;[Keyboard]" c="Keyboard"/>
              <i n="[Table1].[Product].&amp;[Laptop]" c="Laptop"/>
              <i n="[Table1].[Product].&amp;[Monitor]" c="Monitor"/>
              <i n="[Table1].[Product].&amp;[Mouse]" c="Mouse"/>
              <i n="[Table1].[Product].&amp;[Printer]" c="Printer"/>
              <i n="[Table1].[Product].&amp;[Smartphone]" c="Smartphone"/>
              <i n="[Table1].[Product].&amp;[Tablet]" c="Tablet"/>
            </range>
          </ranges>
        </level>
      </levels>
      <selections count="1">
        <selection n="[Table1].[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8F023B9-92F9-4793-9847-4BD646BC3767}" cache="Slicer_Category" caption="Category" columnCount="2" level="1" style="SlicerStyleOther2" rowHeight="234950"/>
  <slicer name="Country" xr10:uid="{EE57CEF4-D46C-4C89-BBBD-7870FF78FB42}" cache="Slicer_Country" caption="Country" columnCount="2" level="1" style="SlicerStyleOther2" rowHeight="234950"/>
  <slicer name="Date (Month)" xr10:uid="{F6994850-133A-41BA-B946-D4DCD2338487}" cache="Slicer_Date__Month" caption="Date (Month)" columnCount="2" level="1" style="SlicerStyleOther2" rowHeight="234950"/>
  <slicer name="Product" xr10:uid="{C4E4BB00-8594-462C-86EE-F70FA0D13BD5}" cache="Slicer_Product" caption="Product" columnCount="2" level="1" style="SlicerStyleOther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a:noFill/>
        </a:ln>
      </a:spPr>
      <a:bodyPr vertOverflow="clip" horzOverflow="clip" rtlCol="0" anchor="t"/>
      <a:lstStyle>
        <a:defPPr algn="l">
          <a:defRPr sz="2400" b="1" i="0" u="none" strike="noStrike">
            <a:solidFill>
              <a:srgbClr val="000000"/>
            </a:solidFill>
            <a:latin typeface="Calibri"/>
            <a:ea typeface="Calibri"/>
            <a:cs typeface="Calibri"/>
          </a:defRPr>
        </a:defPPr>
      </a:lstStyle>
      <a:style>
        <a:lnRef idx="2">
          <a:schemeClr val="accent1">
            <a:shade val="50000"/>
          </a:schemeClr>
        </a:lnRef>
        <a:fillRef idx="1001">
          <a:schemeClr val="l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F991-7033-4BDA-AD1E-C90C4BDA59E6}">
  <dimension ref="A1:R701"/>
  <sheetViews>
    <sheetView tabSelected="1" topLeftCell="A13" zoomScale="85" zoomScaleNormal="85" workbookViewId="0">
      <selection activeCell="H38" sqref="H38"/>
    </sheetView>
  </sheetViews>
  <sheetFormatPr defaultRowHeight="14.4" x14ac:dyDescent="0.3"/>
  <cols>
    <col min="2" max="2" width="30.109375" bestFit="1" customWidth="1"/>
    <col min="3" max="3" width="14.33203125" style="13" bestFit="1" customWidth="1"/>
    <col min="4" max="4" width="22.21875" bestFit="1" customWidth="1"/>
    <col min="5" max="6" width="18" bestFit="1" customWidth="1"/>
    <col min="7" max="7" width="13.44140625" bestFit="1" customWidth="1"/>
    <col min="8" max="8" width="15.77734375" bestFit="1" customWidth="1"/>
    <col min="9" max="9" width="14.33203125" bestFit="1" customWidth="1"/>
    <col min="11" max="11" width="13.44140625" bestFit="1" customWidth="1"/>
    <col min="12" max="12" width="19.33203125" bestFit="1" customWidth="1"/>
    <col min="13" max="13" width="18" bestFit="1" customWidth="1"/>
    <col min="14" max="14" width="14.77734375" bestFit="1" customWidth="1"/>
    <col min="15" max="15" width="13.44140625" bestFit="1" customWidth="1"/>
    <col min="16" max="16" width="15.77734375" bestFit="1" customWidth="1"/>
    <col min="17" max="17" width="13.44140625" bestFit="1" customWidth="1"/>
    <col min="18" max="18" width="14.33203125" bestFit="1" customWidth="1"/>
  </cols>
  <sheetData>
    <row r="1" spans="1:18" x14ac:dyDescent="0.3">
      <c r="A1" s="17"/>
      <c r="B1" s="17"/>
      <c r="C1" s="18"/>
      <c r="D1" s="17"/>
      <c r="E1" s="17"/>
      <c r="F1" s="17"/>
      <c r="G1" s="17"/>
      <c r="H1" s="17"/>
      <c r="I1" s="17"/>
      <c r="J1" s="17"/>
      <c r="K1" s="17"/>
      <c r="L1" s="17"/>
      <c r="M1" s="17"/>
      <c r="N1" s="17"/>
      <c r="O1" s="17"/>
      <c r="P1" s="17"/>
      <c r="Q1" s="17"/>
      <c r="R1" s="17"/>
    </row>
    <row r="2" spans="1:18" x14ac:dyDescent="0.3">
      <c r="A2" s="17"/>
      <c r="B2" s="17"/>
      <c r="C2" s="18"/>
      <c r="D2" s="17"/>
      <c r="E2" s="17"/>
      <c r="F2" s="17"/>
      <c r="G2" s="17"/>
      <c r="H2" s="17"/>
      <c r="I2" s="17"/>
      <c r="J2" s="17"/>
      <c r="K2" s="17"/>
      <c r="L2" s="17"/>
      <c r="M2" s="17"/>
      <c r="N2" s="17"/>
      <c r="O2" s="17"/>
      <c r="P2" s="17"/>
      <c r="Q2" s="17"/>
      <c r="R2" s="17"/>
    </row>
    <row r="3" spans="1:18" x14ac:dyDescent="0.3">
      <c r="A3" s="17"/>
      <c r="B3" s="17"/>
      <c r="C3" s="18"/>
      <c r="D3" s="17"/>
      <c r="E3" s="17"/>
      <c r="F3" s="17"/>
      <c r="G3" s="17"/>
      <c r="H3" s="17"/>
      <c r="I3" s="17"/>
      <c r="J3" s="17"/>
      <c r="K3" s="17"/>
      <c r="L3" s="17"/>
      <c r="M3" s="17"/>
      <c r="N3" s="17"/>
      <c r="O3" s="17"/>
      <c r="P3" s="17"/>
      <c r="Q3" s="17"/>
      <c r="R3" s="17"/>
    </row>
    <row r="4" spans="1:18" ht="21" x14ac:dyDescent="0.4">
      <c r="A4" s="17"/>
      <c r="B4" s="19" t="s">
        <v>0</v>
      </c>
      <c r="C4" s="17"/>
      <c r="D4" s="19" t="s">
        <v>24</v>
      </c>
      <c r="F4" s="15" t="s">
        <v>23</v>
      </c>
      <c r="I4" s="17"/>
      <c r="J4" s="17"/>
      <c r="K4" s="17"/>
      <c r="L4" s="17"/>
      <c r="M4" s="17"/>
      <c r="N4" s="17"/>
      <c r="O4" s="17"/>
      <c r="P4" s="17"/>
      <c r="Q4" s="17"/>
      <c r="R4" s="17"/>
    </row>
    <row r="5" spans="1:18" ht="46.2" x14ac:dyDescent="0.4">
      <c r="A5" s="17"/>
      <c r="B5" s="32">
        <v>111197036.06000011</v>
      </c>
      <c r="C5" s="17"/>
      <c r="D5" s="31">
        <v>3000</v>
      </c>
      <c r="F5" s="33">
        <v>22884413.280000001</v>
      </c>
      <c r="I5" s="17"/>
      <c r="J5" s="17"/>
      <c r="K5" s="11" t="s">
        <v>1</v>
      </c>
      <c r="L5" s="14" t="s">
        <v>0</v>
      </c>
      <c r="M5" s="14"/>
      <c r="N5" s="20" t="s">
        <v>1</v>
      </c>
      <c r="O5" s="14" t="s">
        <v>23</v>
      </c>
      <c r="Q5" s="17"/>
      <c r="R5" s="17"/>
    </row>
    <row r="6" spans="1:18" ht="21" x14ac:dyDescent="0.3">
      <c r="A6" s="17"/>
      <c r="B6" s="17"/>
      <c r="C6" s="17"/>
      <c r="D6" s="17"/>
      <c r="E6" s="19"/>
      <c r="F6" s="19"/>
      <c r="I6" s="17"/>
      <c r="J6" s="17"/>
      <c r="K6" s="12" t="s">
        <v>7</v>
      </c>
      <c r="L6" s="14">
        <v>15785583.27</v>
      </c>
      <c r="M6" s="14"/>
      <c r="N6" s="21" t="s">
        <v>7</v>
      </c>
      <c r="O6" s="14">
        <v>3205681.21</v>
      </c>
      <c r="Q6" s="11" t="s">
        <v>1</v>
      </c>
      <c r="R6" t="s">
        <v>23</v>
      </c>
    </row>
    <row r="7" spans="1:18" x14ac:dyDescent="0.3">
      <c r="A7" s="17"/>
      <c r="B7" s="17"/>
      <c r="C7" s="17"/>
      <c r="D7" s="17"/>
      <c r="E7" s="17"/>
      <c r="I7" s="17"/>
      <c r="J7" s="17"/>
      <c r="K7" s="12" t="s">
        <v>3</v>
      </c>
      <c r="L7" s="14">
        <v>14681924.730000002</v>
      </c>
      <c r="M7" s="14"/>
      <c r="N7" s="21" t="s">
        <v>9</v>
      </c>
      <c r="O7" s="14">
        <v>2998111.46</v>
      </c>
      <c r="Q7" s="12" t="s">
        <v>29</v>
      </c>
      <c r="R7" s="14">
        <v>1975481.67</v>
      </c>
    </row>
    <row r="8" spans="1:18" x14ac:dyDescent="0.3">
      <c r="A8" s="17"/>
      <c r="B8" s="17"/>
      <c r="C8" s="17"/>
      <c r="D8" s="17"/>
      <c r="E8" s="17"/>
      <c r="I8" s="17"/>
      <c r="J8" s="17"/>
      <c r="K8" s="12" t="s">
        <v>2</v>
      </c>
      <c r="L8" s="14">
        <v>14279195.050000003</v>
      </c>
      <c r="M8" s="14"/>
      <c r="N8" s="21" t="s">
        <v>2</v>
      </c>
      <c r="O8" s="14">
        <v>2980367.18</v>
      </c>
      <c r="Q8" s="12" t="s">
        <v>30</v>
      </c>
      <c r="R8" s="14">
        <v>1793557.15</v>
      </c>
    </row>
    <row r="9" spans="1:18" ht="21" x14ac:dyDescent="0.3">
      <c r="A9" s="17"/>
      <c r="B9" s="16" t="s">
        <v>25</v>
      </c>
      <c r="C9"/>
      <c r="E9" s="17"/>
      <c r="I9" s="17"/>
      <c r="J9" s="17"/>
      <c r="K9" s="12" t="s">
        <v>9</v>
      </c>
      <c r="L9" s="14">
        <v>14132757.330000004</v>
      </c>
      <c r="M9" s="14"/>
      <c r="N9" s="21" t="s">
        <v>3</v>
      </c>
      <c r="O9" s="14">
        <v>2951640.94</v>
      </c>
      <c r="Q9" s="12" t="s">
        <v>31</v>
      </c>
      <c r="R9" s="14">
        <v>1902916.51</v>
      </c>
    </row>
    <row r="10" spans="1:18" ht="21" x14ac:dyDescent="0.3">
      <c r="A10" s="17"/>
      <c r="B10" s="34">
        <v>37065.678686666703</v>
      </c>
      <c r="C10"/>
      <c r="D10" s="11" t="s">
        <v>1</v>
      </c>
      <c r="E10" t="s">
        <v>0</v>
      </c>
      <c r="G10" s="11" t="s">
        <v>1</v>
      </c>
      <c r="H10" t="s">
        <v>26</v>
      </c>
      <c r="J10" s="17"/>
      <c r="K10" s="12" t="s">
        <v>6</v>
      </c>
      <c r="L10" s="14">
        <v>13558988.389999995</v>
      </c>
      <c r="M10" s="14"/>
      <c r="N10" s="21" t="s">
        <v>8</v>
      </c>
      <c r="O10" s="14">
        <v>2784702.51</v>
      </c>
      <c r="Q10" s="12" t="s">
        <v>32</v>
      </c>
      <c r="R10" s="14">
        <v>1683847.38</v>
      </c>
    </row>
    <row r="11" spans="1:18" x14ac:dyDescent="0.3">
      <c r="A11" s="17"/>
      <c r="C11"/>
      <c r="D11" s="12" t="s">
        <v>14</v>
      </c>
      <c r="E11" s="14">
        <v>12267101.219999999</v>
      </c>
      <c r="G11" s="12" t="s">
        <v>11</v>
      </c>
      <c r="H11" s="10">
        <v>8332</v>
      </c>
      <c r="J11" s="17"/>
      <c r="K11" s="12" t="s">
        <v>8</v>
      </c>
      <c r="L11" s="14">
        <v>13280984.799999999</v>
      </c>
      <c r="M11" s="14"/>
      <c r="N11" s="21" t="s">
        <v>6</v>
      </c>
      <c r="O11" s="14">
        <v>2752135.14</v>
      </c>
      <c r="Q11" s="12" t="s">
        <v>33</v>
      </c>
      <c r="R11" s="14">
        <v>1771697.92</v>
      </c>
    </row>
    <row r="12" spans="1:18" x14ac:dyDescent="0.3">
      <c r="A12" s="17"/>
      <c r="C12"/>
      <c r="D12" s="12" t="s">
        <v>11</v>
      </c>
      <c r="E12" s="14">
        <v>12053397.899999999</v>
      </c>
      <c r="G12" s="12" t="s">
        <v>14</v>
      </c>
      <c r="H12" s="10">
        <v>8075</v>
      </c>
      <c r="J12" s="17"/>
      <c r="K12" s="12" t="s">
        <v>5</v>
      </c>
      <c r="L12" s="14">
        <v>13124636.600000001</v>
      </c>
      <c r="M12" s="14"/>
      <c r="N12" s="21" t="s">
        <v>5</v>
      </c>
      <c r="O12" s="14">
        <v>2718291.01</v>
      </c>
      <c r="Q12" s="12" t="s">
        <v>34</v>
      </c>
      <c r="R12" s="14">
        <v>1786861.93</v>
      </c>
    </row>
    <row r="13" spans="1:18" x14ac:dyDescent="0.3">
      <c r="A13" s="17"/>
      <c r="C13"/>
      <c r="D13" s="12" t="s">
        <v>19</v>
      </c>
      <c r="E13" s="14">
        <v>11669575.620000001</v>
      </c>
      <c r="G13" s="12" t="s">
        <v>13</v>
      </c>
      <c r="H13" s="10">
        <v>7704</v>
      </c>
      <c r="J13" s="17"/>
      <c r="K13" s="12" t="s">
        <v>4</v>
      </c>
      <c r="L13" s="14">
        <v>12352965.890000008</v>
      </c>
      <c r="M13" s="14"/>
      <c r="N13" s="21" t="s">
        <v>4</v>
      </c>
      <c r="O13" s="14">
        <v>2493483.83</v>
      </c>
      <c r="Q13" s="12" t="s">
        <v>35</v>
      </c>
      <c r="R13" s="14">
        <v>1861490.32</v>
      </c>
    </row>
    <row r="14" spans="1:18" x14ac:dyDescent="0.3">
      <c r="A14" s="17"/>
      <c r="C14"/>
      <c r="D14" s="12" t="s">
        <v>17</v>
      </c>
      <c r="E14" s="14">
        <v>11328447.479999993</v>
      </c>
      <c r="G14" s="12" t="s">
        <v>15</v>
      </c>
      <c r="H14" s="10">
        <v>7476</v>
      </c>
      <c r="J14" s="17"/>
      <c r="K14" s="12" t="s">
        <v>10</v>
      </c>
      <c r="L14" s="14">
        <v>111197036.06000011</v>
      </c>
      <c r="M14" s="14"/>
      <c r="N14" s="21" t="s">
        <v>10</v>
      </c>
      <c r="O14" s="14">
        <v>22884413.280000001</v>
      </c>
      <c r="Q14" s="12" t="s">
        <v>36</v>
      </c>
      <c r="R14" s="14">
        <v>1939597.46</v>
      </c>
    </row>
    <row r="15" spans="1:18" x14ac:dyDescent="0.3">
      <c r="A15" s="17"/>
      <c r="C15"/>
      <c r="D15" s="12" t="s">
        <v>13</v>
      </c>
      <c r="E15" s="14">
        <v>11293398.729999999</v>
      </c>
      <c r="G15" s="12" t="s">
        <v>19</v>
      </c>
      <c r="H15" s="10">
        <v>7331</v>
      </c>
      <c r="J15" s="17"/>
      <c r="Q15" s="12" t="s">
        <v>37</v>
      </c>
      <c r="R15" s="14">
        <v>2068878.03</v>
      </c>
    </row>
    <row r="16" spans="1:18" x14ac:dyDescent="0.3">
      <c r="A16" s="17"/>
      <c r="C16"/>
      <c r="D16" s="12" t="s">
        <v>21</v>
      </c>
      <c r="E16" s="14">
        <v>10851847.43</v>
      </c>
      <c r="G16" s="12" t="s">
        <v>17</v>
      </c>
      <c r="H16" s="10">
        <v>7253</v>
      </c>
      <c r="J16" s="17"/>
      <c r="Q16" s="12" t="s">
        <v>38</v>
      </c>
      <c r="R16" s="14">
        <v>1993659.68</v>
      </c>
    </row>
    <row r="17" spans="1:18" x14ac:dyDescent="0.3">
      <c r="A17" s="17"/>
      <c r="C17"/>
      <c r="D17" s="12" t="s">
        <v>15</v>
      </c>
      <c r="E17" s="14">
        <v>10706649</v>
      </c>
      <c r="G17" s="12" t="s">
        <v>21</v>
      </c>
      <c r="H17" s="10">
        <v>7109</v>
      </c>
      <c r="J17" s="17"/>
      <c r="Q17" s="12" t="s">
        <v>39</v>
      </c>
      <c r="R17" s="14">
        <v>1984068.12</v>
      </c>
    </row>
    <row r="18" spans="1:18" x14ac:dyDescent="0.3">
      <c r="A18" s="17"/>
      <c r="C18"/>
      <c r="D18" s="12" t="s">
        <v>18</v>
      </c>
      <c r="E18" s="14">
        <v>10627214.729999999</v>
      </c>
      <c r="G18" s="12" t="s">
        <v>16</v>
      </c>
      <c r="H18" s="10">
        <v>7094</v>
      </c>
      <c r="J18" s="17"/>
      <c r="Q18" s="12" t="s">
        <v>40</v>
      </c>
      <c r="R18" s="14">
        <v>2122357.11</v>
      </c>
    </row>
    <row r="19" spans="1:18" x14ac:dyDescent="0.3">
      <c r="A19" s="17"/>
      <c r="C19"/>
      <c r="D19" s="12" t="s">
        <v>20</v>
      </c>
      <c r="E19" s="14">
        <v>10247920.250000002</v>
      </c>
      <c r="G19" s="12" t="s">
        <v>18</v>
      </c>
      <c r="H19" s="10">
        <v>7082</v>
      </c>
      <c r="J19" s="17"/>
      <c r="Q19" s="12" t="s">
        <v>10</v>
      </c>
      <c r="R19" s="14">
        <v>22884413.280000001</v>
      </c>
    </row>
    <row r="20" spans="1:18" x14ac:dyDescent="0.3">
      <c r="A20" s="17"/>
      <c r="C20"/>
      <c r="D20" s="12" t="s">
        <v>16</v>
      </c>
      <c r="E20" s="14">
        <v>10151483.699999999</v>
      </c>
      <c r="G20" s="12" t="s">
        <v>20</v>
      </c>
      <c r="H20" s="10">
        <v>6842</v>
      </c>
      <c r="J20" s="17"/>
    </row>
    <row r="21" spans="1:18" x14ac:dyDescent="0.3">
      <c r="A21" s="17"/>
      <c r="C21"/>
      <c r="D21" s="12" t="s">
        <v>10</v>
      </c>
      <c r="E21" s="14">
        <v>111197036.06000011</v>
      </c>
      <c r="G21" s="12" t="s">
        <v>10</v>
      </c>
      <c r="H21" s="10">
        <v>74298</v>
      </c>
      <c r="J21" s="17"/>
    </row>
    <row r="22" spans="1:18" x14ac:dyDescent="0.3">
      <c r="A22" s="17"/>
      <c r="C22"/>
      <c r="J22" s="17"/>
      <c r="O22" s="11" t="s">
        <v>1</v>
      </c>
      <c r="P22" t="s">
        <v>24</v>
      </c>
    </row>
    <row r="23" spans="1:18" x14ac:dyDescent="0.3">
      <c r="A23" s="17"/>
      <c r="C23"/>
      <c r="J23" s="17"/>
      <c r="K23" s="17"/>
      <c r="L23" s="11" t="s">
        <v>1</v>
      </c>
      <c r="M23" t="s">
        <v>0</v>
      </c>
      <c r="O23" s="12" t="s">
        <v>2</v>
      </c>
      <c r="P23" s="10">
        <v>374</v>
      </c>
    </row>
    <row r="24" spans="1:18" x14ac:dyDescent="0.3">
      <c r="C24"/>
      <c r="L24" s="12" t="s">
        <v>29</v>
      </c>
      <c r="M24" s="14">
        <v>9566340.2400000058</v>
      </c>
      <c r="O24" s="12" t="s">
        <v>3</v>
      </c>
      <c r="P24" s="10">
        <v>369</v>
      </c>
    </row>
    <row r="25" spans="1:18" x14ac:dyDescent="0.3">
      <c r="B25" s="11" t="s">
        <v>1</v>
      </c>
      <c r="C25" t="s">
        <v>23</v>
      </c>
      <c r="L25" s="12" t="s">
        <v>30</v>
      </c>
      <c r="M25" s="14">
        <v>8799117.0899999961</v>
      </c>
      <c r="O25" s="12" t="s">
        <v>4</v>
      </c>
      <c r="P25" s="10">
        <v>348</v>
      </c>
    </row>
    <row r="26" spans="1:18" x14ac:dyDescent="0.3">
      <c r="B26" s="12" t="s">
        <v>14</v>
      </c>
      <c r="C26" s="14">
        <v>2637340.5099999998</v>
      </c>
      <c r="E26" s="11" t="s">
        <v>1</v>
      </c>
      <c r="F26" s="14" t="s">
        <v>0</v>
      </c>
      <c r="H26" s="11" t="s">
        <v>1</v>
      </c>
      <c r="I26" s="14" t="s">
        <v>23</v>
      </c>
      <c r="L26" s="12" t="s">
        <v>31</v>
      </c>
      <c r="M26" s="14">
        <v>8677984.6299999952</v>
      </c>
      <c r="O26" s="12" t="s">
        <v>5</v>
      </c>
      <c r="P26" s="10">
        <v>357</v>
      </c>
    </row>
    <row r="27" spans="1:18" x14ac:dyDescent="0.3">
      <c r="B27" s="12" t="s">
        <v>11</v>
      </c>
      <c r="C27" s="14">
        <v>2429003.29</v>
      </c>
      <c r="E27" s="12" t="s">
        <v>12</v>
      </c>
      <c r="F27" s="14">
        <v>30012217.890000012</v>
      </c>
      <c r="H27" s="12" t="s">
        <v>12</v>
      </c>
      <c r="I27" s="14">
        <v>6166368.6299999999</v>
      </c>
      <c r="L27" s="12" t="s">
        <v>32</v>
      </c>
      <c r="M27" s="14">
        <v>8423452.7500000019</v>
      </c>
      <c r="O27" s="12" t="s">
        <v>6</v>
      </c>
      <c r="P27" s="10">
        <v>361</v>
      </c>
    </row>
    <row r="28" spans="1:18" x14ac:dyDescent="0.3">
      <c r="B28" s="12" t="s">
        <v>17</v>
      </c>
      <c r="C28" s="14">
        <v>2340274.27</v>
      </c>
      <c r="E28" s="12" t="s">
        <v>28</v>
      </c>
      <c r="F28" s="14">
        <v>27263220.810000006</v>
      </c>
      <c r="H28" s="12" t="s">
        <v>27</v>
      </c>
      <c r="I28" s="14">
        <v>5674907.3700000001</v>
      </c>
      <c r="L28" s="12" t="s">
        <v>33</v>
      </c>
      <c r="M28" s="14">
        <v>8821748.0700000022</v>
      </c>
      <c r="O28" s="12" t="s">
        <v>7</v>
      </c>
      <c r="P28" s="10">
        <v>433</v>
      </c>
    </row>
    <row r="29" spans="1:18" x14ac:dyDescent="0.3">
      <c r="B29" s="12" t="s">
        <v>19</v>
      </c>
      <c r="C29" s="14">
        <v>2336347.1</v>
      </c>
      <c r="E29" s="12" t="s">
        <v>22</v>
      </c>
      <c r="F29" s="14">
        <v>26965588.340000033</v>
      </c>
      <c r="H29" s="12" t="s">
        <v>28</v>
      </c>
      <c r="I29" s="14">
        <v>5560581</v>
      </c>
      <c r="L29" s="12" t="s">
        <v>34</v>
      </c>
      <c r="M29" s="14">
        <v>8708271.4100000057</v>
      </c>
      <c r="O29" s="12" t="s">
        <v>8</v>
      </c>
      <c r="P29" s="10">
        <v>380</v>
      </c>
    </row>
    <row r="30" spans="1:18" x14ac:dyDescent="0.3">
      <c r="B30" s="12" t="s">
        <v>13</v>
      </c>
      <c r="C30" s="14">
        <v>2291262.38</v>
      </c>
      <c r="E30" s="12" t="s">
        <v>27</v>
      </c>
      <c r="F30" s="14">
        <v>26956009.020000003</v>
      </c>
      <c r="H30" s="12" t="s">
        <v>22</v>
      </c>
      <c r="I30" s="14">
        <v>5482556.2800000003</v>
      </c>
      <c r="L30" s="12" t="s">
        <v>35</v>
      </c>
      <c r="M30" s="14">
        <v>9489607.6999999974</v>
      </c>
      <c r="O30" s="12" t="s">
        <v>9</v>
      </c>
      <c r="P30" s="10">
        <v>378</v>
      </c>
    </row>
    <row r="31" spans="1:18" x14ac:dyDescent="0.3">
      <c r="B31" s="12" t="s">
        <v>21</v>
      </c>
      <c r="C31" s="14">
        <v>2233085.4300000002</v>
      </c>
      <c r="E31" s="12" t="s">
        <v>10</v>
      </c>
      <c r="F31" s="14">
        <v>111197036.06000011</v>
      </c>
      <c r="H31" s="12" t="s">
        <v>10</v>
      </c>
      <c r="I31" s="14">
        <v>22884413.280000001</v>
      </c>
      <c r="L31" s="12" t="s">
        <v>36</v>
      </c>
      <c r="M31" s="14">
        <v>9110635.9700000044</v>
      </c>
      <c r="O31" s="12" t="s">
        <v>10</v>
      </c>
      <c r="P31" s="10">
        <v>3000</v>
      </c>
    </row>
    <row r="32" spans="1:18" x14ac:dyDescent="0.3">
      <c r="B32" s="12" t="s">
        <v>18</v>
      </c>
      <c r="C32" s="14">
        <v>2230109.27</v>
      </c>
      <c r="L32" s="12" t="s">
        <v>37</v>
      </c>
      <c r="M32" s="14">
        <v>10128092.470000004</v>
      </c>
    </row>
    <row r="33" spans="2:13" x14ac:dyDescent="0.3">
      <c r="B33" s="12" t="s">
        <v>15</v>
      </c>
      <c r="C33" s="14">
        <v>2228199.9500000002</v>
      </c>
      <c r="L33" s="12" t="s">
        <v>38</v>
      </c>
      <c r="M33" s="14">
        <v>10058678.620000005</v>
      </c>
    </row>
    <row r="34" spans="2:13" x14ac:dyDescent="0.3">
      <c r="B34" s="12" t="s">
        <v>16</v>
      </c>
      <c r="C34" s="14">
        <v>2122502.04</v>
      </c>
      <c r="L34" s="12" t="s">
        <v>39</v>
      </c>
      <c r="M34" s="14">
        <v>9293365.4499999955</v>
      </c>
    </row>
    <row r="35" spans="2:13" x14ac:dyDescent="0.3">
      <c r="B35" s="12" t="s">
        <v>20</v>
      </c>
      <c r="C35" s="14">
        <v>2036289.04</v>
      </c>
      <c r="L35" s="12" t="s">
        <v>40</v>
      </c>
      <c r="M35" s="14">
        <v>10119741.659999995</v>
      </c>
    </row>
    <row r="36" spans="2:13" x14ac:dyDescent="0.3">
      <c r="B36" s="12" t="s">
        <v>10</v>
      </c>
      <c r="C36" s="14">
        <v>22884413.280000001</v>
      </c>
      <c r="L36" s="12" t="s">
        <v>10</v>
      </c>
      <c r="M36" s="14">
        <v>111197036.06000011</v>
      </c>
    </row>
    <row r="37" spans="2:13" x14ac:dyDescent="0.3">
      <c r="C37"/>
    </row>
    <row r="38" spans="2:13" x14ac:dyDescent="0.3">
      <c r="C38"/>
    </row>
    <row r="39" spans="2:13" x14ac:dyDescent="0.3">
      <c r="C39"/>
    </row>
    <row r="40" spans="2:13" x14ac:dyDescent="0.3">
      <c r="C40"/>
    </row>
    <row r="41" spans="2:13" x14ac:dyDescent="0.3">
      <c r="C41"/>
    </row>
    <row r="42" spans="2:13" x14ac:dyDescent="0.3">
      <c r="C42"/>
    </row>
    <row r="679" spans="2:12" x14ac:dyDescent="0.3">
      <c r="B679" s="22"/>
      <c r="C679" s="23"/>
      <c r="D679" s="24"/>
      <c r="F679" s="1"/>
      <c r="G679" s="2"/>
      <c r="H679" s="3"/>
    </row>
    <row r="680" spans="2:12" x14ac:dyDescent="0.3">
      <c r="B680" s="25"/>
      <c r="C680" s="26"/>
      <c r="D680" s="27"/>
      <c r="F680" s="4"/>
      <c r="G680" s="5"/>
      <c r="H680" s="6"/>
      <c r="J680" s="1"/>
      <c r="K680" s="2"/>
      <c r="L680" s="3"/>
    </row>
    <row r="681" spans="2:12" x14ac:dyDescent="0.3">
      <c r="B681" s="25"/>
      <c r="C681" s="26"/>
      <c r="D681" s="27"/>
      <c r="F681" s="4"/>
      <c r="G681" s="5"/>
      <c r="H681" s="6"/>
      <c r="J681" s="4"/>
      <c r="K681" s="5"/>
      <c r="L681" s="6"/>
    </row>
    <row r="682" spans="2:12" x14ac:dyDescent="0.3">
      <c r="B682" s="25"/>
      <c r="C682" s="26"/>
      <c r="D682" s="27"/>
      <c r="F682" s="4"/>
      <c r="G682" s="5"/>
      <c r="H682" s="6"/>
      <c r="J682" s="4"/>
      <c r="K682" s="5"/>
      <c r="L682" s="6"/>
    </row>
    <row r="683" spans="2:12" x14ac:dyDescent="0.3">
      <c r="B683" s="25"/>
      <c r="C683" s="26"/>
      <c r="D683" s="27"/>
      <c r="F683" s="4"/>
      <c r="G683" s="5"/>
      <c r="H683" s="6"/>
      <c r="J683" s="4"/>
      <c r="K683" s="5"/>
      <c r="L683" s="6"/>
    </row>
    <row r="684" spans="2:12" x14ac:dyDescent="0.3">
      <c r="B684" s="25"/>
      <c r="C684" s="26"/>
      <c r="D684" s="27"/>
      <c r="F684" s="4"/>
      <c r="G684" s="5"/>
      <c r="H684" s="6"/>
      <c r="J684" s="4"/>
      <c r="K684" s="5"/>
      <c r="L684" s="6"/>
    </row>
    <row r="685" spans="2:12" x14ac:dyDescent="0.3">
      <c r="B685" s="25"/>
      <c r="C685" s="26"/>
      <c r="D685" s="27"/>
      <c r="F685" s="4"/>
      <c r="G685" s="5"/>
      <c r="H685" s="6"/>
      <c r="J685" s="4"/>
      <c r="K685" s="5"/>
      <c r="L685" s="6"/>
    </row>
    <row r="686" spans="2:12" x14ac:dyDescent="0.3">
      <c r="B686" s="25"/>
      <c r="C686" s="26"/>
      <c r="D686" s="27"/>
      <c r="F686" s="4"/>
      <c r="G686" s="5"/>
      <c r="H686" s="6"/>
      <c r="J686" s="4"/>
      <c r="K686" s="5"/>
      <c r="L686" s="6"/>
    </row>
    <row r="687" spans="2:12" x14ac:dyDescent="0.3">
      <c r="B687" s="25"/>
      <c r="C687" s="26"/>
      <c r="D687" s="27"/>
      <c r="F687" s="4"/>
      <c r="G687" s="5"/>
      <c r="H687" s="6"/>
      <c r="J687" s="4"/>
      <c r="K687" s="5"/>
      <c r="L687" s="6"/>
    </row>
    <row r="688" spans="2:12" x14ac:dyDescent="0.3">
      <c r="B688" s="25"/>
      <c r="C688" s="26"/>
      <c r="D688" s="27"/>
      <c r="F688" s="4"/>
      <c r="G688" s="5"/>
      <c r="H688" s="6"/>
      <c r="J688" s="4"/>
      <c r="K688" s="5"/>
      <c r="L688" s="6"/>
    </row>
    <row r="689" spans="2:12" x14ac:dyDescent="0.3">
      <c r="B689" s="25"/>
      <c r="C689" s="26"/>
      <c r="D689" s="27"/>
      <c r="F689" s="4"/>
      <c r="G689" s="5"/>
      <c r="H689" s="6"/>
      <c r="J689" s="4"/>
      <c r="K689" s="5"/>
      <c r="L689" s="6"/>
    </row>
    <row r="690" spans="2:12" x14ac:dyDescent="0.3">
      <c r="B690" s="25"/>
      <c r="C690" s="26"/>
      <c r="D690" s="27"/>
      <c r="F690" s="4"/>
      <c r="G690" s="5"/>
      <c r="H690" s="6"/>
      <c r="J690" s="4"/>
      <c r="K690" s="5"/>
      <c r="L690" s="6"/>
    </row>
    <row r="691" spans="2:12" x14ac:dyDescent="0.3">
      <c r="B691" s="25"/>
      <c r="C691" s="26"/>
      <c r="D691" s="27"/>
      <c r="F691" s="4"/>
      <c r="G691" s="5"/>
      <c r="H691" s="6"/>
      <c r="J691" s="4"/>
      <c r="K691" s="5"/>
      <c r="L691" s="6"/>
    </row>
    <row r="692" spans="2:12" x14ac:dyDescent="0.3">
      <c r="B692" s="25"/>
      <c r="C692" s="26"/>
      <c r="D692" s="27"/>
      <c r="F692" s="4"/>
      <c r="G692" s="5"/>
      <c r="H692" s="6"/>
      <c r="J692" s="4"/>
      <c r="K692" s="5"/>
      <c r="L692" s="6"/>
    </row>
    <row r="693" spans="2:12" x14ac:dyDescent="0.3">
      <c r="B693" s="25"/>
      <c r="C693" s="26"/>
      <c r="D693" s="27"/>
      <c r="F693" s="4"/>
      <c r="G693" s="5"/>
      <c r="H693" s="6"/>
      <c r="J693" s="4"/>
      <c r="K693" s="5"/>
      <c r="L693" s="6"/>
    </row>
    <row r="694" spans="2:12" x14ac:dyDescent="0.3">
      <c r="B694" s="25"/>
      <c r="C694" s="26"/>
      <c r="D694" s="27"/>
      <c r="F694" s="4"/>
      <c r="G694" s="5"/>
      <c r="H694" s="6"/>
      <c r="J694" s="4"/>
      <c r="K694" s="5"/>
      <c r="L694" s="6"/>
    </row>
    <row r="695" spans="2:12" x14ac:dyDescent="0.3">
      <c r="B695" s="25"/>
      <c r="C695" s="26"/>
      <c r="D695" s="27"/>
      <c r="F695" s="4"/>
      <c r="G695" s="5"/>
      <c r="H695" s="6"/>
      <c r="J695" s="4"/>
      <c r="K695" s="5"/>
      <c r="L695" s="6"/>
    </row>
    <row r="696" spans="2:12" x14ac:dyDescent="0.3">
      <c r="B696" s="28"/>
      <c r="C696" s="29"/>
      <c r="D696" s="30"/>
      <c r="F696" s="7"/>
      <c r="G696" s="8"/>
      <c r="H696" s="9"/>
      <c r="J696" s="4"/>
      <c r="K696" s="5"/>
      <c r="L696" s="6"/>
    </row>
    <row r="697" spans="2:12" x14ac:dyDescent="0.3">
      <c r="C697"/>
      <c r="J697" s="7"/>
      <c r="K697" s="8"/>
      <c r="L697" s="9"/>
    </row>
    <row r="698" spans="2:12" x14ac:dyDescent="0.3">
      <c r="C698"/>
    </row>
    <row r="699" spans="2:12" x14ac:dyDescent="0.3">
      <c r="C699"/>
    </row>
    <row r="700" spans="2:12" x14ac:dyDescent="0.3">
      <c r="C700"/>
    </row>
    <row r="701" spans="2:12" x14ac:dyDescent="0.3">
      <c r="C701"/>
    </row>
  </sheetData>
  <pageMargins left="0.7" right="0.7" top="0.75" bottom="0.75" header="0.3" footer="0.3"/>
  <pageSetup paperSize="9" orientation="portrait"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94224-A39C-4B60-ADC7-3207D2AE392C}">
  <sheetPr>
    <pageSetUpPr fitToPage="1"/>
  </sheetPr>
  <dimension ref="A1:AU5"/>
  <sheetViews>
    <sheetView showGridLines="0" zoomScale="34" zoomScaleNormal="34" workbookViewId="0">
      <selection activeCell="AS65" sqref="AS65"/>
    </sheetView>
  </sheetViews>
  <sheetFormatPr defaultRowHeight="14.4" x14ac:dyDescent="0.3"/>
  <cols>
    <col min="1" max="16384" width="8.88671875" style="35"/>
  </cols>
  <sheetData>
    <row r="1" spans="1:47" ht="14.4" customHeight="1" x14ac:dyDescent="0.3">
      <c r="A1" s="36" t="s">
        <v>41</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row>
    <row r="2" spans="1:47" ht="14.4" customHeight="1" x14ac:dyDescent="0.3">
      <c r="A2" s="37"/>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c r="AR2" s="37"/>
      <c r="AS2" s="37"/>
      <c r="AT2" s="37"/>
      <c r="AU2" s="37"/>
    </row>
    <row r="3" spans="1:47" ht="14.4" customHeight="1" x14ac:dyDescent="0.3">
      <c r="A3" s="37"/>
      <c r="B3" s="37"/>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row>
    <row r="4" spans="1:47" x14ac:dyDescent="0.3">
      <c r="A4" s="37"/>
      <c r="B4" s="37"/>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row>
    <row r="5" spans="1:47" x14ac:dyDescent="0.3">
      <c r="A5" s="37"/>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row>
  </sheetData>
  <mergeCells count="1">
    <mergeCell ref="A1:AU5"/>
  </mergeCells>
  <pageMargins left="0.25" right="0.25" top="0.75" bottom="0.75" header="0.3" footer="0.3"/>
  <pageSetup paperSize="9" scale="34"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10A72125-C654-4D2C-870B-7153A4D01FA1}">
  <ds:schemaRefs/>
</ds:datastoreItem>
</file>

<file path=customXml/itemProps2.xml><?xml version="1.0" encoding="utf-8"?>
<ds:datastoreItem xmlns:ds="http://schemas.openxmlformats.org/officeDocument/2006/customXml" ds:itemID="{F2ECC22B-F534-494F-BBB8-6B2AE2373C4E}">
  <ds:schemaRefs/>
</ds:datastoreItem>
</file>

<file path=customXml/itemProps3.xml><?xml version="1.0" encoding="utf-8"?>
<ds:datastoreItem xmlns:ds="http://schemas.openxmlformats.org/officeDocument/2006/customXml" ds:itemID="{80AFEE08-4A41-4543-87B7-F82B5FA162C0}">
  <ds:schemaRefs/>
</ds:datastoreItem>
</file>

<file path=customXml/itemProps4.xml><?xml version="1.0" encoding="utf-8"?>
<ds:datastoreItem xmlns:ds="http://schemas.openxmlformats.org/officeDocument/2006/customXml" ds:itemID="{BF2D9523-FFFB-44A7-8409-7334C97D3F53}">
  <ds:schemaRefs/>
</ds:datastoreItem>
</file>

<file path=customXml/itemProps5.xml><?xml version="1.0" encoding="utf-8"?>
<ds:datastoreItem xmlns:ds="http://schemas.openxmlformats.org/officeDocument/2006/customXml" ds:itemID="{0FD8318D-272B-4E37-A71A-66A973415A14}">
  <ds:schemaRefs/>
</ds:datastoreItem>
</file>

<file path=customXml/itemProps6.xml><?xml version="1.0" encoding="utf-8"?>
<ds:datastoreItem xmlns:ds="http://schemas.openxmlformats.org/officeDocument/2006/customXml" ds:itemID="{48741487-21FA-4047-B1D7-43A472405263}">
  <ds:schemaRefs/>
</ds:datastoreItem>
</file>

<file path=customXml/itemProps7.xml><?xml version="1.0" encoding="utf-8"?>
<ds:datastoreItem xmlns:ds="http://schemas.openxmlformats.org/officeDocument/2006/customXml" ds:itemID="{80E71431-C6E1-489B-A477-4735CCF9D4DE}">
  <ds:schemaRefs/>
</ds:datastoreItem>
</file>

<file path=customXml/itemProps8.xml><?xml version="1.0" encoding="utf-8"?>
<ds:datastoreItem xmlns:ds="http://schemas.openxmlformats.org/officeDocument/2006/customXml" ds:itemID="{7A416BF6-0BD9-433D-84D9-812AE9FA0BA2}">
  <ds:schemaRefs/>
</ds:datastoreItem>
</file>

<file path=customXml/itemProps9.xml><?xml version="1.0" encoding="utf-8"?>
<ds:datastoreItem xmlns:ds="http://schemas.openxmlformats.org/officeDocument/2006/customXml" ds:itemID="{3605762A-E652-413A-B362-E50A1217822E}">
  <ds:schemaRefs/>
</ds:datastoreItem>
</file>

<file path=customXml/itemProps10.xml><?xml version="1.0" encoding="utf-8"?>
<ds:datastoreItem xmlns:ds="http://schemas.openxmlformats.org/officeDocument/2006/customXml" ds:itemID="{5FE1BA16-3153-4A82-BF6C-34386ECE38F4}">
  <ds:schemaRefs/>
</ds:datastoreItem>
</file>

<file path=customXml/itemProps11.xml><?xml version="1.0" encoding="utf-8"?>
<ds:datastoreItem xmlns:ds="http://schemas.openxmlformats.org/officeDocument/2006/customXml" ds:itemID="{31E0B5E1-7FF4-4664-A171-100DE86B6B6E}">
  <ds:schemaRefs/>
</ds:datastoreItem>
</file>

<file path=customXml/itemProps12.xml><?xml version="1.0" encoding="utf-8"?>
<ds:datastoreItem xmlns:ds="http://schemas.openxmlformats.org/officeDocument/2006/customXml" ds:itemID="{0146C9A4-9D7C-42B9-83C0-3C9BD8EC2441}">
  <ds:schemaRefs/>
</ds:datastoreItem>
</file>

<file path=customXml/itemProps13.xml><?xml version="1.0" encoding="utf-8"?>
<ds:datastoreItem xmlns:ds="http://schemas.openxmlformats.org/officeDocument/2006/customXml" ds:itemID="{89ADD8D9-E5D0-4737-8BC9-6DF9A32B8475}">
  <ds:schemaRefs/>
</ds:datastoreItem>
</file>

<file path=customXml/itemProps14.xml><?xml version="1.0" encoding="utf-8"?>
<ds:datastoreItem xmlns:ds="http://schemas.openxmlformats.org/officeDocument/2006/customXml" ds:itemID="{31734EC0-DB29-4097-B3F2-A7AC65543F80}">
  <ds:schemaRefs/>
</ds:datastoreItem>
</file>

<file path=customXml/itemProps15.xml><?xml version="1.0" encoding="utf-8"?>
<ds:datastoreItem xmlns:ds="http://schemas.openxmlformats.org/officeDocument/2006/customXml" ds:itemID="{132D0D78-DA9A-4F9C-A1D6-ADF5407E223C}">
  <ds:schemaRefs/>
</ds:datastoreItem>
</file>

<file path=customXml/itemProps16.xml><?xml version="1.0" encoding="utf-8"?>
<ds:datastoreItem xmlns:ds="http://schemas.openxmlformats.org/officeDocument/2006/customXml" ds:itemID="{05459A31-A93B-4417-B181-8FD67D7E7E36}">
  <ds:schemaRefs/>
</ds:datastoreItem>
</file>

<file path=customXml/itemProps17.xml><?xml version="1.0" encoding="utf-8"?>
<ds:datastoreItem xmlns:ds="http://schemas.openxmlformats.org/officeDocument/2006/customXml" ds:itemID="{0AE5C7C3-BB54-41D5-AA9F-2BD5FE291B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2026-07-25T15:52:37Z</cp:lastPrinted>
  <dcterms:created xsi:type="dcterms:W3CDTF">2026-07-21T13:57:01Z</dcterms:created>
  <dcterms:modified xsi:type="dcterms:W3CDTF">2026-07-27T13:26:54Z</dcterms:modified>
</cp:coreProperties>
</file>